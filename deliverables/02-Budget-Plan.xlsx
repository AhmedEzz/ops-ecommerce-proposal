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source Allocation" sheetId="3" state="visible" r:id="rId3"/>
    <sheet xmlns:r="http://schemas.openxmlformats.org/officeDocument/2006/relationships" name="Cost Breakdown" sheetId="4" state="visible" r:id="rId4"/>
    <sheet xmlns:r="http://schemas.openxmlformats.org/officeDocument/2006/relationships" name="Infra and Tooling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cope Changes" sheetId="7" state="visible" r:id="rId7"/>
    <sheet xmlns:r="http://schemas.openxmlformats.org/officeDocument/2006/relationships" name="Phase 1b and 2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RO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#,##0.00;(#,##0.00);-"/>
    <numFmt numFmtId="166" formatCode="0.0%"/>
    <numFmt numFmtId="167" formatCode="0.0&quot;×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6" fillId="3" borderId="1" pivotButton="0" quotePrefix="0" xfId="0"/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6" fillId="0" borderId="1" pivotButton="0" quotePrefix="0" xfId="0"/>
    <xf numFmtId="2" fontId="6" fillId="0" borderId="1" pivotButton="0" quotePrefix="0" xfId="0"/>
    <xf numFmtId="165" fontId="6" fillId="3" borderId="1" pivotButton="0" quotePrefix="0" xfId="0"/>
    <xf numFmtId="2" fontId="6" fillId="3" borderId="1" pivotButton="0" quotePrefix="0" xfId="0"/>
    <xf numFmtId="0" fontId="3" fillId="4" borderId="1" pivotButton="0" quotePrefix="0" xfId="0"/>
    <xf numFmtId="2" fontId="7" fillId="4" borderId="1" pivotButton="0" quotePrefix="0" xfId="0"/>
    <xf numFmtId="0" fontId="4" fillId="4" borderId="1" applyAlignment="1" pivotButton="0" quotePrefix="0" xfId="0">
      <alignment horizontal="center"/>
    </xf>
    <xf numFmtId="0" fontId="2" fillId="4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right"/>
    </xf>
    <xf numFmtId="0" fontId="4" fillId="4" borderId="1" pivotButton="0" quotePrefix="0" xfId="0"/>
    <xf numFmtId="2" fontId="3" fillId="4" borderId="1" applyAlignment="1" pivotButton="0" quotePrefix="0" xfId="0">
      <alignment horizontal="center"/>
    </xf>
    <xf numFmtId="164" fontId="8" fillId="0" borderId="1" pivotButton="0" quotePrefix="0" xfId="0"/>
    <xf numFmtId="2" fontId="8" fillId="0" borderId="1" applyAlignment="1" pivotButton="0" quotePrefix="0" xfId="0">
      <alignment horizontal="center"/>
    </xf>
    <xf numFmtId="164" fontId="7" fillId="0" borderId="1" pivotButton="0" quotePrefix="0" xfId="0"/>
    <xf numFmtId="166" fontId="7" fillId="0" borderId="1" applyAlignment="1" pivotButton="0" quotePrefix="0" xfId="0">
      <alignment horizontal="center"/>
    </xf>
    <xf numFmtId="0" fontId="3" fillId="5" borderId="1" pivotButton="0" quotePrefix="0" xfId="0"/>
    <xf numFmtId="0" fontId="4" fillId="5" borderId="1" pivotButton="0" quotePrefix="0" xfId="0"/>
    <xf numFmtId="164" fontId="3" fillId="5" borderId="1" pivotButton="0" quotePrefix="0" xfId="0"/>
    <xf numFmtId="166" fontId="3" fillId="5" borderId="1" applyAlignment="1" pivotButton="0" quotePrefix="0" xfId="0">
      <alignment horizontal="center"/>
    </xf>
    <xf numFmtId="0" fontId="4" fillId="6" borderId="1" pivotButton="0" quotePrefix="0" xfId="0"/>
    <xf numFmtId="164" fontId="7" fillId="6" borderId="1" pivotButton="0" quotePrefix="0" xfId="0"/>
    <xf numFmtId="166" fontId="7" fillId="6" borderId="1" applyAlignment="1" pivotButton="0" quotePrefix="0" xfId="0">
      <alignment horizontal="center"/>
    </xf>
    <xf numFmtId="0" fontId="2" fillId="6" borderId="1" applyAlignment="1" pivotButton="0" quotePrefix="0" xfId="0">
      <alignment vertical="center" wrapText="1"/>
    </xf>
    <xf numFmtId="0" fontId="5" fillId="2" borderId="1" pivotButton="0" quotePrefix="0" xfId="0"/>
    <xf numFmtId="0" fontId="4" fillId="2" borderId="1" pivotButton="0" quotePrefix="0" xfId="0"/>
    <xf numFmtId="164" fontId="9" fillId="2" borderId="1" pivotButton="0" quotePrefix="0" xfId="0"/>
    <xf numFmtId="166" fontId="9" fillId="2" borderId="1" applyAlignment="1" pivotButton="0" quotePrefix="0" xfId="0">
      <alignment horizontal="center"/>
    </xf>
    <xf numFmtId="0" fontId="7" fillId="5" borderId="1" pivotButton="0" quotePrefix="0" xfId="0"/>
    <xf numFmtId="0" fontId="0" fillId="0" borderId="4" pivotButton="0" quotePrefix="0" xfId="0"/>
    <xf numFmtId="165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2" fillId="0" borderId="1" pivotButton="0" quotePrefix="0" xfId="0"/>
    <xf numFmtId="164" fontId="3" fillId="4" borderId="1" pivotButton="0" quotePrefix="0" xfId="0"/>
    <xf numFmtId="0" fontId="2" fillId="5" borderId="1" pivotButton="0" quotePrefix="0" xfId="0"/>
    <xf numFmtId="0" fontId="2" fillId="6" borderId="0" applyAlignment="1" pivotButton="0" quotePrefix="0" xfId="0">
      <alignment vertical="top" wrapText="1"/>
    </xf>
    <xf numFmtId="2" fontId="3" fillId="5" borderId="1" applyAlignment="1" pivotButton="0" quotePrefix="0" xfId="0">
      <alignment horizontal="center"/>
    </xf>
    <xf numFmtId="0" fontId="3" fillId="6" borderId="1" pivotButton="0" quotePrefix="0" xfId="0"/>
    <xf numFmtId="2" fontId="3" fillId="6" borderId="1" applyAlignment="1" pivotButton="0" quotePrefix="0" xfId="0">
      <alignment horizontal="center"/>
    </xf>
    <xf numFmtId="164" fontId="3" fillId="6" borderId="1" pivotButton="0" quotePrefix="0" xfId="0"/>
    <xf numFmtId="0" fontId="2" fillId="6" borderId="1" pivotButton="0" quotePrefix="0" xfId="0"/>
    <xf numFmtId="2" fontId="3" fillId="2" borderId="1" applyAlignment="1" pivotButton="0" quotePrefix="0" xfId="0">
      <alignment horizontal="center"/>
    </xf>
    <xf numFmtId="0" fontId="0" fillId="0" borderId="5" pivotButton="0" quotePrefix="0" xfId="0"/>
    <xf numFmtId="164" fontId="7" fillId="5" borderId="1" pivotButton="0" quotePrefix="0" xfId="0"/>
    <xf numFmtId="2" fontId="7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center" wrapText="1"/>
    </xf>
    <xf numFmtId="167" fontId="6" fillId="5" borderId="1" applyAlignment="1" pivotButton="0" quotePrefix="0" xfId="0">
      <alignment horizontal="center"/>
    </xf>
    <xf numFmtId="167" fontId="6" fillId="6" borderId="1" applyAlignment="1" pivotButton="0" quotePrefix="0" xfId="0">
      <alignment horizontal="center"/>
    </xf>
    <xf numFmtId="2" fontId="7" fillId="6" borderId="1" applyAlignment="1" pivotButton="0" quotePrefix="0" xfId="0">
      <alignment horizontal="center"/>
    </xf>
    <xf numFmtId="164" fontId="6" fillId="5" borderId="1" pivotButton="0" quotePrefix="0" xfId="0"/>
    <xf numFmtId="164" fontId="8" fillId="5" borderId="1" pivotButton="0" quotePrefix="0" xfId="0"/>
    <xf numFmtId="0" fontId="4" fillId="5" borderId="1" applyAlignment="1" pivotButton="0" quotePrefix="0" xfId="0">
      <alignment horizontal="center"/>
    </xf>
    <xf numFmtId="164" fontId="8" fillId="6" borderId="1" pivotButton="0" quotePrefix="0" xfId="0"/>
    <xf numFmtId="0" fontId="4" fillId="6" borderId="1" applyAlignment="1" pivotButton="0" quotePrefix="0" xfId="0">
      <alignment horizontal="center"/>
    </xf>
    <xf numFmtId="164" fontId="6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166" fontId="7" fillId="0" borderId="1" pivotButton="0" quotePrefix="0" xfId="0"/>
    <xf numFmtId="3" fontId="7" fillId="5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167" fontId="3" fillId="5" borderId="1" applyAlignment="1" pivotButton="0" quotePrefix="0" xfId="0">
      <alignment horizontal="center"/>
    </xf>
    <xf numFmtId="0" fontId="4" fillId="3" borderId="1" pivotButton="0" quotePrefix="0" xfId="0"/>
    <xf numFmtId="164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" t="inlineStr">
        <is>
          <t>OPS Management System — Phase 1 Budget Model</t>
        </is>
      </c>
    </row>
    <row r="2">
      <c r="A2" s="2" t="inlineStr">
        <is>
          <t>Client budget: 300,000 EGP · Window: 10 Aug – 20 Nov 2026 · Team: BE + FE + DevOps</t>
        </is>
      </c>
    </row>
    <row r="4" ht="30" customHeight="1">
      <c r="A4" s="3" t="inlineStr">
        <is>
          <t>Purpose</t>
        </is>
      </c>
      <c r="B4" s="4" t="inlineStr">
        <is>
          <t>Models the Phase 1 build against a fixed 300,000 EGP client budget, and states explicitly what that budget does and does not buy.</t>
        </is>
      </c>
    </row>
    <row r="5" ht="30" customHeight="1">
      <c r="A5" s="3" t="inlineStr">
        <is>
          <t>How to use it</t>
        </is>
      </c>
      <c r="B5" s="4" t="inlineStr">
        <is>
          <t>Edit only the blue cells on the Assumptions sheet. Every other figure in the workbook is a formula and will recalculate.</t>
        </is>
      </c>
    </row>
    <row r="6" ht="30" customHeight="1">
      <c r="A6" s="3" t="inlineStr">
        <is>
          <t>Colour legend</t>
        </is>
      </c>
      <c r="B6" s="4" t="inlineStr">
        <is>
          <t>BLUE text = input you can change · BLACK = calculated · GREEN = pulled from another sheet · YELLOW fill = assumption the client must confirm.</t>
        </is>
      </c>
    </row>
    <row r="7" ht="30" customHeight="1">
      <c r="A7" s="3" t="inlineStr">
        <is>
          <t>Balancing figure</t>
        </is>
      </c>
      <c r="B7" s="4" t="inlineStr">
        <is>
          <t>Contingency is calculated as budget − labour − infrastructure. The grand total therefore always equals the budget exactly.</t>
        </is>
      </c>
    </row>
    <row r="9" ht="30" customHeight="1">
      <c r="A9" s="3" t="inlineStr">
        <is>
          <t>Headline</t>
        </is>
      </c>
      <c r="B9" s="4" t="inlineStr">
        <is>
          <t>The budget funds ~8.3 person-months. That covers the Phase 1 scope in the technical proposal and nothing beyond it.</t>
        </is>
      </c>
    </row>
    <row r="10" ht="30" customHeight="1">
      <c r="A10" s="3" t="inlineStr">
        <is>
          <t>Key constraint</t>
        </is>
      </c>
      <c r="B10" s="4" t="inlineStr">
        <is>
          <t>Bringing returns in-house costs ~3 person-weeks more than the E-stebdal integration it replaces. This was absorbed by moving the customer self-service portal to Phase 1b — which leaves Phase 1 with NO slack.</t>
        </is>
      </c>
    </row>
    <row r="11" ht="30" customHeight="1">
      <c r="A11" s="3" t="inlineStr">
        <is>
          <t>Implication</t>
        </is>
      </c>
      <c r="B11" s="4" t="inlineStr">
        <is>
          <t>Any scope added after Sprint 0 must displace something else. See the Sensitivity sheet for the three levers available.</t>
        </is>
      </c>
    </row>
    <row r="12" ht="30" customHeight="1">
      <c r="A12" s="3" t="inlineStr">
        <is>
          <t>Scope change</t>
        </is>
      </c>
      <c r="B12" s="4" t="inlineStr">
        <is>
          <t>Authentication and the Super Admin console were added after the first draft. They cost ~10 days inside Phase 1, paid for by moving three read-only surfaces to Phase 1b. See the Scope Changes sheet.</t>
        </is>
      </c>
    </row>
    <row r="14" ht="30" customHeight="1">
      <c r="A14" s="3" t="inlineStr">
        <is>
          <t>Sheets</t>
        </is>
      </c>
      <c r="B14" s="4" t="inlineStr">
        <is>
          <t>Assumptions · Resource Allocation · Cost Breakdown · Infra and Tooling · Cash Flow · Scope Changes · Phase 1b and 2 · Sensitivity · ROI</t>
        </is>
      </c>
    </row>
    <row r="15" ht="30" customHeight="1">
      <c r="A15" s="3" t="inlineStr">
        <is>
          <t>Source</t>
        </is>
      </c>
      <c r="B15" s="4" t="inlineStr">
        <is>
          <t>Figures derive from POC - Youssey Excelsheet.xlsx via scripts/extract_data.py and from published provider pricing (Aug 2026). Salary bands: Egyptian mid-level market, 18,000–42,000 EGP/month.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62" customWidth="1" min="4" max="4"/>
  </cols>
  <sheetData>
    <row r="1">
      <c r="A1" s="1" t="inlineStr">
        <is>
          <t>Assumptions</t>
        </is>
      </c>
    </row>
    <row r="2">
      <c r="A2" s="2" t="inlineStr">
        <is>
          <t>Edit the BLUE cells only. Yellow fill = confirm with the client.</t>
        </is>
      </c>
    </row>
    <row r="4" ht="28" customHeight="1">
      <c r="A4" s="5" t="inlineStr">
        <is>
          <t>Assumption</t>
        </is>
      </c>
      <c r="B4" s="5" t="inlineStr">
        <is>
          <t>Value</t>
        </is>
      </c>
      <c r="C4" s="5" t="inlineStr">
        <is>
          <t>Unit</t>
        </is>
      </c>
      <c r="D4" s="5" t="inlineStr">
        <is>
          <t>Basis / source</t>
        </is>
      </c>
    </row>
    <row r="5">
      <c r="A5" s="6" t="inlineStr">
        <is>
          <t>Client budget (Phase 1)</t>
        </is>
      </c>
      <c r="B5" s="7" t="n">
        <v>300000</v>
      </c>
      <c r="C5" s="8" t="inlineStr">
        <is>
          <t>EGP</t>
        </is>
      </c>
      <c r="D5" s="9" t="inlineStr">
        <is>
          <t>Client-stated budget</t>
        </is>
      </c>
    </row>
    <row r="6">
      <c r="A6" s="6" t="inlineStr">
        <is>
          <t>Project start</t>
        </is>
      </c>
      <c r="B6" s="10" t="inlineStr">
        <is>
          <t>2026-08-10</t>
        </is>
      </c>
      <c r="C6" s="8" t="inlineStr">
        <is>
          <t>date</t>
        </is>
      </c>
      <c r="D6" s="9" t="inlineStr">
        <is>
          <t>Sprint 0 begins</t>
        </is>
      </c>
    </row>
    <row r="7">
      <c r="A7" s="6" t="inlineStr">
        <is>
          <t>Code freeze / go-live</t>
        </is>
      </c>
      <c r="B7" s="10" t="inlineStr">
        <is>
          <t>2026-11-20</t>
        </is>
      </c>
      <c r="C7" s="8" t="inlineStr">
        <is>
          <t>date</t>
        </is>
      </c>
      <c r="D7" s="9" t="inlineStr">
        <is>
          <t>7 days before Black Friday (27 Nov 2026)</t>
        </is>
      </c>
    </row>
    <row r="8">
      <c r="A8" s="6" t="inlineStr">
        <is>
          <t>Black Friday</t>
        </is>
      </c>
      <c r="B8" s="10" t="inlineStr">
        <is>
          <t>2026-11-27</t>
        </is>
      </c>
      <c r="C8" s="8" t="inlineStr">
        <is>
          <t>date</t>
        </is>
      </c>
      <c r="D8" s="9" t="inlineStr">
        <is>
          <t>Fixed external date</t>
        </is>
      </c>
    </row>
    <row r="9">
      <c r="A9" s="6" t="inlineStr">
        <is>
          <t>Project duration</t>
        </is>
      </c>
      <c r="B9" s="11" t="n">
        <v>15</v>
      </c>
      <c r="C9" s="8" t="inlineStr">
        <is>
          <t>weeks</t>
        </is>
      </c>
      <c r="D9" s="9" t="inlineStr">
        <is>
          <t>10 Aug – 20 Nov 2026</t>
        </is>
      </c>
    </row>
    <row r="10">
      <c r="A10" s="6" t="inlineStr">
        <is>
          <t>Weeks per month</t>
        </is>
      </c>
      <c r="B10" s="11" t="n">
        <v>4.345</v>
      </c>
      <c r="C10" s="8" t="inlineStr">
        <is>
          <t>weeks</t>
        </is>
      </c>
      <c r="D10" s="9" t="inlineStr">
        <is>
          <t>52 / 12</t>
        </is>
      </c>
    </row>
    <row r="12">
      <c r="A12" s="6" t="inlineStr">
        <is>
          <t>USD / EGP</t>
        </is>
      </c>
      <c r="B12" s="12" t="n">
        <v>50.25</v>
      </c>
      <c r="C12" s="8" t="inlineStr">
        <is>
          <t>EGP</t>
        </is>
      </c>
      <c r="D12" s="9" t="inlineStr">
        <is>
          <t>Market rate, Aug 2026</t>
        </is>
      </c>
    </row>
    <row r="13">
      <c r="A13" s="6" t="inlineStr">
        <is>
          <t>EUR / EGP</t>
        </is>
      </c>
      <c r="B13" s="12" t="n">
        <v>55</v>
      </c>
      <c r="C13" s="8" t="inlineStr">
        <is>
          <t>EGP</t>
        </is>
      </c>
      <c r="D13" s="9" t="inlineStr">
        <is>
          <t>Derived from USD/EGP at EURUSD ~1.09</t>
        </is>
      </c>
    </row>
    <row r="15">
      <c r="A15" s="6" t="inlineStr">
        <is>
          <t>Backend engineer — monthly cost</t>
        </is>
      </c>
      <c r="B15" s="7" t="n">
        <v>34000</v>
      </c>
      <c r="C15" s="8" t="inlineStr">
        <is>
          <t>EGP</t>
        </is>
      </c>
      <c r="D15" s="9" t="inlineStr">
        <is>
          <t>Mid-level Egyptian market; the critical role</t>
        </is>
      </c>
    </row>
    <row r="16">
      <c r="A16" s="6" t="inlineStr">
        <is>
          <t>Frontend engineer — monthly cost</t>
        </is>
      </c>
      <c r="B16" s="7" t="n">
        <v>27000</v>
      </c>
      <c r="C16" s="8" t="inlineStr">
        <is>
          <t>EGP</t>
        </is>
      </c>
      <c r="D16" s="9" t="inlineStr">
        <is>
          <t>Mid-level; Livewire/Blade profile, not React-only</t>
        </is>
      </c>
    </row>
    <row r="17">
      <c r="A17" s="6" t="inlineStr">
        <is>
          <t>DevOps engineer — monthly cost</t>
        </is>
      </c>
      <c r="B17" s="7" t="n">
        <v>35000</v>
      </c>
      <c r="C17" s="8" t="inlineStr">
        <is>
          <t>EGP</t>
        </is>
      </c>
      <c r="D17" s="9" t="inlineStr">
        <is>
          <t>Mid-level; part-time allocation</t>
        </is>
      </c>
    </row>
    <row r="19">
      <c r="A19" s="6" t="inlineStr">
        <is>
          <t>Backend allocation</t>
        </is>
      </c>
      <c r="B19" s="11" t="n">
        <v>1</v>
      </c>
      <c r="C19" s="8" t="inlineStr">
        <is>
          <t>FTE</t>
        </is>
      </c>
      <c r="D19" s="9" t="inlineStr">
        <is>
          <t>Full time across all sprints</t>
        </is>
      </c>
    </row>
    <row r="20">
      <c r="A20" s="6" t="inlineStr">
        <is>
          <t>Frontend allocation</t>
        </is>
      </c>
      <c r="B20" s="11" t="n">
        <v>1</v>
      </c>
      <c r="C20" s="8" t="inlineStr">
        <is>
          <t>FTE</t>
        </is>
      </c>
      <c r="D20" s="9" t="inlineStr">
        <is>
          <t>Full time across all sprints</t>
        </is>
      </c>
    </row>
    <row r="21">
      <c r="A21" s="6" t="inlineStr">
        <is>
          <t>DevOps allocation</t>
        </is>
      </c>
      <c r="B21" s="13" t="n">
        <v>0.4</v>
      </c>
      <c r="C21" s="8" t="inlineStr">
        <is>
          <t>FTE</t>
        </is>
      </c>
      <c r="D21" s="9" t="inlineStr">
        <is>
          <t>Front-loaded Sprint 1, then part time</t>
        </is>
      </c>
    </row>
    <row r="23">
      <c r="A23" s="6" t="inlineStr">
        <is>
          <t>Infrastructure months funded</t>
        </is>
      </c>
      <c r="B23" s="11" t="n">
        <v>5</v>
      </c>
      <c r="C23" s="8" t="inlineStr">
        <is>
          <t>months</t>
        </is>
      </c>
      <c r="D23" s="9" t="inlineStr">
        <is>
          <t>Aug–Dec 2026, covering hypercare</t>
        </is>
      </c>
    </row>
    <row r="25">
      <c r="A25" s="14" t="inlineStr">
        <is>
          <t>Duration in months</t>
        </is>
      </c>
      <c r="B25" s="15">
        <f>B9/B10</f>
        <v/>
      </c>
      <c r="C25" s="16" t="inlineStr">
        <is>
          <t>months</t>
        </is>
      </c>
      <c r="D25" s="17" t="inlineStr">
        <is>
          <t>Project duration ÷ weeks per month</t>
        </is>
      </c>
    </row>
    <row r="26">
      <c r="A26" s="14" t="inlineStr">
        <is>
          <t>Total person-months</t>
        </is>
      </c>
      <c r="B26" s="15">
        <f>(B19+B20+B21)*B25</f>
        <v/>
      </c>
      <c r="C26" s="16" t="inlineStr">
        <is>
          <t>person-mo</t>
        </is>
      </c>
      <c r="D26" s="17" t="inlineStr">
        <is>
          <t>Sum of FTE allocations × duration in months</t>
        </is>
      </c>
    </row>
    <row r="28">
      <c r="A28" s="3" t="inlineStr">
        <is>
          <t>NOTE</t>
        </is>
      </c>
      <c r="B28" s="18" t="inlineStr">
        <is>
          <t>Team model is IN-HOUSE SALARIED. Contractor rates typically run 1.3–1.8× and agency rates 2–3× these figures — at either, 300,000 EGP would not fund the Phase 1 scope. See the Sensitivity sheet.</t>
        </is>
      </c>
    </row>
    <row r="29"/>
  </sheetData>
  <mergeCells count="1">
    <mergeCell ref="B28:D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Resource Allocation by Sprint</t>
        </is>
      </c>
    </row>
    <row r="2">
      <c r="A2" s="2" t="inlineStr">
        <is>
          <t>FTE per role per sprint. Sprint effort is indicative; cost is driven by the Assumptions sheet.</t>
        </is>
      </c>
    </row>
    <row r="4" ht="28" customHeight="1">
      <c r="A4" s="5" t="inlineStr">
        <is>
          <t>Sprint</t>
        </is>
      </c>
      <c r="B4" s="5" t="inlineStr">
        <is>
          <t>Dates</t>
        </is>
      </c>
      <c r="C4" s="5" t="inlineStr">
        <is>
          <t>Primary focus</t>
        </is>
      </c>
      <c r="D4" s="5" t="inlineStr">
        <is>
          <t>BE FTE</t>
        </is>
      </c>
      <c r="E4" s="5" t="inlineStr">
        <is>
          <t>FE FTE</t>
        </is>
      </c>
      <c r="F4" s="5" t="inlineStr">
        <is>
          <t>Ops FTE</t>
        </is>
      </c>
      <c r="G4" s="5" t="inlineStr">
        <is>
          <t>Person-weeks</t>
        </is>
      </c>
    </row>
    <row r="5">
      <c r="A5" s="19" t="inlineStr">
        <is>
          <t>0</t>
        </is>
      </c>
      <c r="B5" s="20" t="inlineStr">
        <is>
          <t>10–14 Aug</t>
        </is>
      </c>
      <c r="C5" s="21" t="inlineStr">
        <is>
          <t>Discovery, credentials, schema, CS return-policy workshop</t>
        </is>
      </c>
      <c r="D5" s="22" t="n">
        <v>1</v>
      </c>
      <c r="E5" s="22" t="n">
        <v>0.5</v>
      </c>
      <c r="F5" s="22" t="n">
        <v>1</v>
      </c>
      <c r="G5" s="23">
        <f>(D5+E5+F5)*1</f>
        <v/>
      </c>
    </row>
    <row r="6">
      <c r="A6" s="19" t="inlineStr">
        <is>
          <t>1</t>
        </is>
      </c>
      <c r="B6" s="20" t="inlineStr">
        <is>
          <t>17–28 Aug</t>
        </is>
      </c>
      <c r="C6" s="21" t="inlineStr">
        <is>
          <t>Schema, RBAC, audit log, webhook inbox, Filament shell</t>
        </is>
      </c>
      <c r="D6" s="22" t="n">
        <v>1</v>
      </c>
      <c r="E6" s="22" t="n">
        <v>1</v>
      </c>
      <c r="F6" s="22" t="n">
        <v>0.8</v>
      </c>
      <c r="G6" s="23">
        <f>(D6+E6+F6)*2</f>
        <v/>
      </c>
    </row>
    <row r="7">
      <c r="A7" s="19" t="inlineStr">
        <is>
          <t>2</t>
        </is>
      </c>
      <c r="B7" s="20" t="inlineStr">
        <is>
          <t>31 Aug–11 Sep</t>
        </is>
      </c>
      <c r="C7" s="21" t="inlineStr">
        <is>
          <t>Shopify adapter, order ingestion, item-level splitting</t>
        </is>
      </c>
      <c r="D7" s="22" t="n">
        <v>1</v>
      </c>
      <c r="E7" s="22" t="n">
        <v>1</v>
      </c>
      <c r="F7" s="22" t="n">
        <v>0.3</v>
      </c>
      <c r="G7" s="23">
        <f>(D7+E7+F7)*2</f>
        <v/>
      </c>
    </row>
    <row r="8">
      <c r="A8" s="19" t="inlineStr">
        <is>
          <t>3</t>
        </is>
      </c>
      <c r="B8" s="20" t="inlineStr">
        <is>
          <t>14–25 Sep</t>
        </is>
      </c>
      <c r="C8" s="21" t="inlineStr">
        <is>
          <t>Bosta adapter, per-item AWB, status webhooks, flex-ship</t>
        </is>
      </c>
      <c r="D8" s="22" t="n">
        <v>1</v>
      </c>
      <c r="E8" s="22" t="n">
        <v>1</v>
      </c>
      <c r="F8" s="22" t="n">
        <v>0.3</v>
      </c>
      <c r="G8" s="23">
        <f>(D8+E8+F8)*2</f>
        <v/>
      </c>
    </row>
    <row r="9">
      <c r="A9" s="19" t="inlineStr">
        <is>
          <t>4</t>
        </is>
      </c>
      <c r="B9" s="20" t="inlineStr">
        <is>
          <t>28 Sep–9 Oct</t>
        </is>
      </c>
      <c r="C9" s="21" t="inlineStr">
        <is>
          <t>Financial engine: snapshots, ledger, 3 business models</t>
        </is>
      </c>
      <c r="D9" s="22" t="n">
        <v>1</v>
      </c>
      <c r="E9" s="22" t="n">
        <v>1</v>
      </c>
      <c r="F9" s="22" t="n">
        <v>0.3</v>
      </c>
      <c r="G9" s="23">
        <f>(D9+E9+F9)*2</f>
        <v/>
      </c>
    </row>
    <row r="10">
      <c r="A10" s="19" t="inlineStr">
        <is>
          <t>5</t>
        </is>
      </c>
      <c r="B10" s="20" t="inlineStr">
        <is>
          <t>12–23 Oct</t>
        </is>
      </c>
      <c r="C10" s="21" t="inlineStr">
        <is>
          <t>Returns &amp; exchanges in-house, eligibility, reverse pickup</t>
        </is>
      </c>
      <c r="D10" s="22" t="n">
        <v>1</v>
      </c>
      <c r="E10" s="22" t="n">
        <v>1</v>
      </c>
      <c r="F10" s="22" t="n">
        <v>0.4</v>
      </c>
      <c r="G10" s="23">
        <f>(D10+E10+F10)*2</f>
        <v/>
      </c>
    </row>
    <row r="11">
      <c r="A11" s="19" t="inlineStr">
        <is>
          <t>6</t>
        </is>
      </c>
      <c r="B11" s="20" t="inlineStr">
        <is>
          <t>26 Oct–6 Nov</t>
        </is>
      </c>
      <c r="C11" s="21" t="inlineStr">
        <is>
          <t>Settlement, reconciliation, vendor portal, migration</t>
        </is>
      </c>
      <c r="D11" s="22" t="n">
        <v>1</v>
      </c>
      <c r="E11" s="22" t="n">
        <v>1</v>
      </c>
      <c r="F11" s="22" t="n">
        <v>0.3</v>
      </c>
      <c r="G11" s="23">
        <f>(D11+E11+F11)*2</f>
        <v/>
      </c>
    </row>
    <row r="12">
      <c r="A12" s="19" t="inlineStr">
        <is>
          <t>UAT</t>
        </is>
      </c>
      <c r="B12" s="20" t="inlineStr">
        <is>
          <t>9–20 Nov</t>
        </is>
      </c>
      <c r="C12" s="21" t="inlineStr">
        <is>
          <t>UAT, parallel run, load test, cutover, hypercare prep</t>
        </is>
      </c>
      <c r="D12" s="22" t="n">
        <v>1</v>
      </c>
      <c r="E12" s="22" t="n">
        <v>1</v>
      </c>
      <c r="F12" s="22" t="n">
        <v>0.6</v>
      </c>
      <c r="G12" s="23">
        <f>(D12+E12+F12)*2</f>
        <v/>
      </c>
    </row>
    <row r="13">
      <c r="C13" s="24" t="inlineStr">
        <is>
          <t>Total person-weeks</t>
        </is>
      </c>
      <c r="D13" s="25" t="inlineStr"/>
      <c r="E13" s="25" t="inlineStr"/>
      <c r="F13" s="25" t="inlineStr"/>
      <c r="G13" s="26">
        <f>SUM(G5:G12)</f>
        <v/>
      </c>
    </row>
    <row r="15">
      <c r="A15" s="3" t="inlineStr">
        <is>
          <t>Why DevOps is 0.4 FTE</t>
        </is>
      </c>
      <c r="B15" s="18" t="inlineStr">
        <is>
          <t>Effort is front-loaded into Sprint 1 (environments, CI/CD, secrets, backups) and Sprint 5 (load test), with light steady-state work between. On a two-node deployment there is no Kubernetes or managed-broker work to justify a full-time role, and the hours are better spent on integrations — which is where the delivery risk actually sits.</t>
        </is>
      </c>
    </row>
    <row r="16"/>
    <row r="17"/>
  </sheetData>
  <mergeCells count="1">
    <mergeCell ref="B15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6" customWidth="1" min="5" max="5"/>
    <col width="12" customWidth="1" min="6" max="6"/>
    <col width="46" customWidth="1" min="7" max="7"/>
  </cols>
  <sheetData>
    <row r="1">
      <c r="A1" s="1" t="inlineStr">
        <is>
          <t>Cost Breakdown — Phase 1</t>
        </is>
      </c>
    </row>
    <row r="2">
      <c r="A2" s="2" t="inlineStr">
        <is>
          <t>Contingency is the balancing figure, so the grand total always equals the client budget exactly.</t>
        </is>
      </c>
    </row>
    <row r="4" ht="28" customHeight="1">
      <c r="A4" s="5" t="inlineStr">
        <is>
          <t>Line item</t>
        </is>
      </c>
      <c r="B4" s="5" t="inlineStr">
        <is>
          <t>Monthly (EGP)</t>
        </is>
      </c>
      <c r="C4" s="5" t="inlineStr">
        <is>
          <t>FTE</t>
        </is>
      </c>
      <c r="D4" s="5" t="inlineStr">
        <is>
          <t>Months</t>
        </is>
      </c>
      <c r="E4" s="5" t="inlineStr">
        <is>
          <t>Total (EGP)</t>
        </is>
      </c>
      <c r="F4" s="5" t="inlineStr">
        <is>
          <t>% of budget</t>
        </is>
      </c>
      <c r="G4" s="5" t="inlineStr">
        <is>
          <t>Notes</t>
        </is>
      </c>
    </row>
    <row r="5">
      <c r="A5" s="14" t="inlineStr">
        <is>
          <t>LABOUR</t>
        </is>
      </c>
      <c r="B5" s="25" t="inlineStr"/>
      <c r="C5" s="25" t="inlineStr"/>
      <c r="D5" s="25" t="inlineStr"/>
      <c r="E5" s="25" t="inlineStr"/>
      <c r="F5" s="25" t="inlineStr"/>
      <c r="G5" s="25" t="inlineStr"/>
    </row>
    <row r="6">
      <c r="A6" s="20" t="inlineStr">
        <is>
          <t>Backend engineer</t>
        </is>
      </c>
      <c r="B6" s="27">
        <f>Assumptions!$B$15</f>
        <v/>
      </c>
      <c r="C6" s="28">
        <f>Assumptions!$B$19</f>
        <v/>
      </c>
      <c r="D6" s="28">
        <f>Assumptions!$B$25</f>
        <v/>
      </c>
      <c r="E6" s="29">
        <f>B6*C6*D6</f>
        <v/>
      </c>
      <c r="F6" s="30">
        <f>E6/Assumptions!$B$5</f>
        <v/>
      </c>
      <c r="G6" s="9" t="inlineStr">
        <is>
          <t>Owns integrations, item splitting, financial engine, returns module</t>
        </is>
      </c>
    </row>
    <row r="7">
      <c r="A7" s="20" t="inlineStr">
        <is>
          <t>Frontend engineer</t>
        </is>
      </c>
      <c r="B7" s="27">
        <f>Assumptions!$B$16</f>
        <v/>
      </c>
      <c r="C7" s="28">
        <f>Assumptions!$B$20</f>
        <v/>
      </c>
      <c r="D7" s="28">
        <f>Assumptions!$B$25</f>
        <v/>
      </c>
      <c r="E7" s="29">
        <f>B7*C7*D7</f>
        <v/>
      </c>
      <c r="F7" s="30">
        <f>E7/Assumptions!$B$5</f>
        <v/>
      </c>
      <c r="G7" s="9" t="inlineStr">
        <is>
          <t>Filament theming, dashboards, vendor portal, print layouts, Phase 1b portal</t>
        </is>
      </c>
    </row>
    <row r="8">
      <c r="A8" s="20" t="inlineStr">
        <is>
          <t>DevOps engineer</t>
        </is>
      </c>
      <c r="B8" s="27">
        <f>Assumptions!$B$17</f>
        <v/>
      </c>
      <c r="C8" s="28">
        <f>Assumptions!$B$21</f>
        <v/>
      </c>
      <c r="D8" s="28">
        <f>Assumptions!$B$25</f>
        <v/>
      </c>
      <c r="E8" s="29">
        <f>B8*C8*D8</f>
        <v/>
      </c>
      <c r="F8" s="30">
        <f>E8/Assumptions!$B$5</f>
        <v/>
      </c>
      <c r="G8" s="9" t="inlineStr">
        <is>
          <t>Environments, CI/CD, monitoring, backups, load test, cutover</t>
        </is>
      </c>
    </row>
    <row r="9">
      <c r="A9" s="31" t="inlineStr">
        <is>
          <t>Labour subtotal</t>
        </is>
      </c>
      <c r="B9" s="32" t="inlineStr"/>
      <c r="C9" s="32" t="inlineStr"/>
      <c r="D9" s="32" t="inlineStr"/>
      <c r="E9" s="33">
        <f>SUM(E6:E8)</f>
        <v/>
      </c>
      <c r="F9" s="34">
        <f>E9/Assumptions!$B$5</f>
        <v/>
      </c>
      <c r="G9" s="32" t="inlineStr"/>
    </row>
    <row r="11">
      <c r="A11" s="14" t="inlineStr">
        <is>
          <t>NON-LABOUR</t>
        </is>
      </c>
      <c r="B11" s="25" t="inlineStr"/>
      <c r="C11" s="25" t="inlineStr"/>
      <c r="D11" s="25" t="inlineStr"/>
      <c r="E11" s="25" t="inlineStr"/>
      <c r="F11" s="25" t="inlineStr"/>
      <c r="G11" s="25" t="inlineStr"/>
    </row>
    <row r="12">
      <c r="A12" s="20" t="inlineStr">
        <is>
          <t>Infrastructure and tooling</t>
        </is>
      </c>
      <c r="B12" s="27">
        <f>'Infra and Tooling'!$E$18</f>
        <v/>
      </c>
      <c r="C12" s="20" t="inlineStr"/>
      <c r="D12" s="28">
        <f>Assumptions!$B$23</f>
        <v/>
      </c>
      <c r="E12" s="27">
        <f>'Infra and Tooling'!$F$18</f>
        <v/>
      </c>
      <c r="F12" s="30">
        <f>E12/Assumptions!$B$5</f>
        <v/>
      </c>
      <c r="G12" s="9" t="inlineStr">
        <is>
          <t>Hosting, storage, CI, email, domain — itemised on the Infra sheet</t>
        </is>
      </c>
    </row>
    <row r="13">
      <c r="A13" s="35" t="inlineStr">
        <is>
          <t>Contingency</t>
        </is>
      </c>
      <c r="B13" s="35" t="inlineStr"/>
      <c r="C13" s="35" t="inlineStr"/>
      <c r="D13" s="35" t="inlineStr"/>
      <c r="E13" s="36">
        <f>Assumptions!$B$5-E9-E12</f>
        <v/>
      </c>
      <c r="F13" s="37">
        <f>E13/Assumptions!$B$5</f>
        <v/>
      </c>
      <c r="G13" s="38" t="inlineStr">
        <is>
          <t>BALANCING FIGURE = budget − labour − infrastructure. Covers integration surprises and the PDPL hosting fallback (see Sensitivity).</t>
        </is>
      </c>
    </row>
    <row r="15">
      <c r="A15" s="39" t="inlineStr">
        <is>
          <t>GRAND TOTAL</t>
        </is>
      </c>
      <c r="B15" s="40" t="inlineStr"/>
      <c r="C15" s="40" t="inlineStr"/>
      <c r="D15" s="40" t="inlineStr"/>
      <c r="E15" s="41">
        <f>E9+E12+E13</f>
        <v/>
      </c>
      <c r="F15" s="42">
        <f>E15/Assumptions!$B$5</f>
        <v/>
      </c>
      <c r="G15" s="40" t="inlineStr"/>
    </row>
    <row r="17">
      <c r="A17" s="6" t="inlineStr">
        <is>
          <t>Check — total equals budget</t>
        </is>
      </c>
      <c r="B17" s="43">
        <f>IF(ROUND(E15-Assumptions!$B$5,2)=0,"OK — balances exactly","MISMATCH")</f>
        <v/>
      </c>
      <c r="C17" s="44" t="n"/>
    </row>
    <row r="19">
      <c r="A19" s="6" t="inlineStr">
        <is>
          <t>Cost per person-month</t>
        </is>
      </c>
      <c r="B19" s="29">
        <f>E9/Assumptions!$B$26</f>
        <v/>
      </c>
      <c r="D19" s="18" t="inlineStr">
        <is>
          <t>Against the Egyptian mid-level band of 18,000–42,000 EGP/month, this sits mid-range — achievable, but not a rate that buys senior engineers.</t>
        </is>
      </c>
    </row>
    <row r="20"/>
  </sheetData>
  <mergeCells count="2">
    <mergeCell ref="B17:C17"/>
    <mergeCell ref="D19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0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Infrastructure and Tooling</t>
        </is>
      </c>
    </row>
    <row r="2">
      <c r="A2" s="2" t="inlineStr">
        <is>
          <t>Recommended: Hetzner Cloud CX line (EU) fronted by Cloudflare. See proposal §8.</t>
        </is>
      </c>
    </row>
    <row r="4" ht="28" customHeight="1">
      <c r="A4" s="5" t="inlineStr">
        <is>
          <t>Item</t>
        </is>
      </c>
      <c r="B4" s="5" t="inlineStr">
        <is>
          <t>Spec</t>
        </is>
      </c>
      <c r="C4" s="5" t="inlineStr">
        <is>
          <t>Native cost</t>
        </is>
      </c>
      <c r="D4" s="5" t="inlineStr">
        <is>
          <t>Currency</t>
        </is>
      </c>
      <c r="E4" s="5" t="inlineStr">
        <is>
          <t>EGP / month</t>
        </is>
      </c>
      <c r="F4" s="5" t="inlineStr">
        <is>
          <t>Total (EGP)</t>
        </is>
      </c>
      <c r="G4" s="5" t="inlineStr">
        <is>
          <t>Notes</t>
        </is>
      </c>
    </row>
    <row r="5">
      <c r="A5" s="20" t="inlineStr">
        <is>
          <t>Application node</t>
        </is>
      </c>
      <c r="B5" s="20" t="inlineStr">
        <is>
          <t>CX43 — 8 vCPU / 16 GB</t>
        </is>
      </c>
      <c r="C5" s="45" t="n">
        <v>15.99</v>
      </c>
      <c r="D5" s="8" t="inlineStr">
        <is>
          <t>EUR</t>
        </is>
      </c>
      <c r="E5" s="29">
        <f>C5*Assumptions!$B$13</f>
        <v/>
      </c>
      <c r="F5" s="29">
        <f>E5*Assumptions!$B$23</f>
        <v/>
      </c>
      <c r="G5" s="9" t="inlineStr">
        <is>
          <t>Ops console, vendor portal, workers, scheduler</t>
        </is>
      </c>
    </row>
    <row r="6">
      <c r="A6" s="20" t="inlineStr">
        <is>
          <t>Data node</t>
        </is>
      </c>
      <c r="B6" s="20" t="inlineStr">
        <is>
          <t>CX33 — 4 vCPU / 8 GB</t>
        </is>
      </c>
      <c r="C6" s="45" t="n">
        <v>8.49</v>
      </c>
      <c r="D6" s="8" t="inlineStr">
        <is>
          <t>EUR</t>
        </is>
      </c>
      <c r="E6" s="29">
        <f>C6*Assumptions!$B$13</f>
        <v/>
      </c>
      <c r="F6" s="29">
        <f>E6*Assumptions!$B$23</f>
        <v/>
      </c>
      <c r="G6" s="9" t="inlineStr">
        <is>
          <t>PostgreSQL 16 + Redis 7</t>
        </is>
      </c>
    </row>
    <row r="7">
      <c r="A7" s="20" t="inlineStr">
        <is>
          <t>Staging</t>
        </is>
      </c>
      <c r="B7" s="20" t="inlineStr">
        <is>
          <t>CX23 — 2 vCPU / 4 GB</t>
        </is>
      </c>
      <c r="C7" s="45" t="n">
        <v>5.49</v>
      </c>
      <c r="D7" s="8" t="inlineStr">
        <is>
          <t>EUR</t>
        </is>
      </c>
      <c r="E7" s="29">
        <f>C7*Assumptions!$B$13</f>
        <v/>
      </c>
      <c r="F7" s="29">
        <f>E7*Assumptions!$B$23</f>
        <v/>
      </c>
      <c r="G7" s="9" t="inlineStr">
        <is>
          <t>Full stack, sandbox integration credentials</t>
        </is>
      </c>
    </row>
    <row r="8">
      <c r="A8" s="20" t="inlineStr">
        <is>
          <t>Automated backups</t>
        </is>
      </c>
      <c r="B8" s="20" t="inlineStr">
        <is>
          <t>20% of server cost</t>
        </is>
      </c>
      <c r="C8" s="45" t="n">
        <v>5.99</v>
      </c>
      <c r="D8" s="8" t="inlineStr">
        <is>
          <t>EUR</t>
        </is>
      </c>
      <c r="E8" s="29">
        <f>C8*Assumptions!$B$13</f>
        <v/>
      </c>
      <c r="F8" s="29">
        <f>E8*Assumptions!$B$23</f>
        <v/>
      </c>
      <c r="G8" s="9" t="inlineStr">
        <is>
          <t>Nightly snapshots, 30-day retention</t>
        </is>
      </c>
    </row>
    <row r="9">
      <c r="A9" s="20" t="inlineStr">
        <is>
          <t>Object storage</t>
        </is>
      </c>
      <c r="B9" s="20" t="inlineStr">
        <is>
          <t>Storage Box 1 TB</t>
        </is>
      </c>
      <c r="C9" s="45" t="n">
        <v>5</v>
      </c>
      <c r="D9" s="8" t="inlineStr">
        <is>
          <t>EUR</t>
        </is>
      </c>
      <c r="E9" s="29">
        <f>C9*Assumptions!$B$13</f>
        <v/>
      </c>
      <c r="F9" s="29">
        <f>E9*Assumptions!$B$23</f>
        <v/>
      </c>
      <c r="G9" s="9" t="inlineStr">
        <is>
          <t>AWB PDFs, payout proofs, off-site backups</t>
        </is>
      </c>
    </row>
    <row r="10">
      <c r="A10" s="20" t="inlineStr">
        <is>
          <t>Source control / CI</t>
        </is>
      </c>
      <c r="B10" s="20" t="inlineStr">
        <is>
          <t>GitHub Team, 3 seats</t>
        </is>
      </c>
      <c r="C10" s="45" t="n">
        <v>12</v>
      </c>
      <c r="D10" s="8" t="inlineStr">
        <is>
          <t>USD</t>
        </is>
      </c>
      <c r="E10" s="29">
        <f>C10*Assumptions!$B$12</f>
        <v/>
      </c>
      <c r="F10" s="29">
        <f>E10*Assumptions!$B$23</f>
        <v/>
      </c>
      <c r="G10" s="9" t="inlineStr">
        <is>
          <t>Actions free tier is sufficient</t>
        </is>
      </c>
    </row>
    <row r="11">
      <c r="A11" s="20" t="inlineStr">
        <is>
          <t>Transactional email</t>
        </is>
      </c>
      <c r="B11" s="20" t="inlineStr">
        <is>
          <t>Amazon SES</t>
        </is>
      </c>
      <c r="C11" s="45" t="n">
        <v>5</v>
      </c>
      <c r="D11" s="8" t="inlineStr">
        <is>
          <t>USD</t>
        </is>
      </c>
      <c r="E11" s="29">
        <f>C11*Assumptions!$B$12</f>
        <v/>
      </c>
      <c r="F11" s="29">
        <f>E11*Assumptions!$B$23</f>
        <v/>
      </c>
      <c r="G11" s="9" t="inlineStr">
        <is>
          <t>AWB labels and payout notifications to vendors</t>
        </is>
      </c>
    </row>
    <row r="12">
      <c r="A12" s="20" t="inlineStr">
        <is>
          <t>DNS / TLS / WAF / CDN</t>
        </is>
      </c>
      <c r="B12" s="20" t="inlineStr">
        <is>
          <t>Cloudflare free tier</t>
        </is>
      </c>
      <c r="C12" s="45" t="n">
        <v>0</v>
      </c>
      <c r="D12" s="8" t="inlineStr">
        <is>
          <t>USD</t>
        </is>
      </c>
      <c r="E12" s="29">
        <f>C12*Assumptions!$B$12</f>
        <v/>
      </c>
      <c r="F12" s="29">
        <f>E12*Assumptions!$B$23</f>
        <v/>
      </c>
      <c r="G12" s="9" t="inlineStr">
        <is>
          <t>Also provides DDoS protection</t>
        </is>
      </c>
    </row>
    <row r="13">
      <c r="A13" s="20" t="inlineStr">
        <is>
          <t>Error tracking</t>
        </is>
      </c>
      <c r="B13" s="20" t="inlineStr">
        <is>
          <t>Sentry free tier</t>
        </is>
      </c>
      <c r="C13" s="45" t="n">
        <v>0</v>
      </c>
      <c r="D13" s="8" t="inlineStr">
        <is>
          <t>USD</t>
        </is>
      </c>
      <c r="E13" s="29">
        <f>C13*Assumptions!$B$12</f>
        <v/>
      </c>
      <c r="F13" s="29">
        <f>E13*Assumptions!$B$23</f>
        <v/>
      </c>
      <c r="G13" s="9" t="inlineStr">
        <is>
          <t>5k events/month covers this volume</t>
        </is>
      </c>
    </row>
    <row r="14">
      <c r="A14" s="20" t="inlineStr">
        <is>
          <t>Uptime monitoring</t>
        </is>
      </c>
      <c r="B14" s="20" t="inlineStr">
        <is>
          <t>Uptime Kuma (self-hosted)</t>
        </is>
      </c>
      <c r="C14" s="45" t="n">
        <v>0</v>
      </c>
      <c r="D14" s="8" t="inlineStr">
        <is>
          <t>USD</t>
        </is>
      </c>
      <c r="E14" s="29">
        <f>C14*Assumptions!$B$12</f>
        <v/>
      </c>
      <c r="F14" s="29">
        <f>E14*Assumptions!$B$23</f>
        <v/>
      </c>
      <c r="G14" s="9" t="inlineStr">
        <is>
          <t>Runs on the staging node</t>
        </is>
      </c>
    </row>
    <row r="15">
      <c r="A15" s="20" t="inlineStr">
        <is>
          <t>Domain registration</t>
        </is>
      </c>
      <c r="B15" s="20" t="inlineStr">
        <is>
          <t>Annual, amortised</t>
        </is>
      </c>
      <c r="C15" s="46" t="n">
        <v>600</v>
      </c>
      <c r="D15" s="8" t="inlineStr">
        <is>
          <t>EGP</t>
        </is>
      </c>
      <c r="E15" s="29">
        <f>C15/Assumptions!$B$23</f>
        <v/>
      </c>
      <c r="F15" s="29">
        <f>C15</f>
        <v/>
      </c>
      <c r="G15" s="47" t="inlineStr">
        <is>
          <t>One-off within the project window</t>
        </is>
      </c>
    </row>
    <row r="17">
      <c r="A17" s="14" t="inlineStr">
        <is>
          <t>Sub-total</t>
        </is>
      </c>
      <c r="B17" s="25" t="inlineStr"/>
      <c r="C17" s="25" t="inlineStr"/>
      <c r="D17" s="25" t="inlineStr"/>
      <c r="E17" s="48">
        <f>SUM(E5:E15)</f>
        <v/>
      </c>
      <c r="F17" s="48">
        <f>SUM(F5:F15)</f>
        <v/>
      </c>
      <c r="G17" s="25" t="inlineStr"/>
    </row>
    <row r="18">
      <c r="A18" s="31" t="inlineStr">
        <is>
          <t>TOTAL (rounded up)</t>
        </is>
      </c>
      <c r="B18" s="32" t="inlineStr"/>
      <c r="C18" s="32" t="inlineStr"/>
      <c r="D18" s="32" t="inlineStr"/>
      <c r="E18" s="33">
        <f>CEILING(E17,10)</f>
        <v/>
      </c>
      <c r="F18" s="33">
        <f>CEILING(F17,10)</f>
        <v/>
      </c>
      <c r="G18" s="49" t="inlineStr">
        <is>
          <t>Feeds the Cost Breakdown sheet</t>
        </is>
      </c>
    </row>
    <row r="20">
      <c r="A20" s="3" t="inlineStr">
        <is>
          <t>PDPL fallback</t>
        </is>
      </c>
      <c r="B20" s="50" t="inlineStr">
        <is>
          <t>If legal counsel rejects EU hosting, Egyptian local hosting is estimated at 3,000–8,000 EGP/month — an increase of roughly 4,000 to 28,500 EGP across the project window, which must come from contingency. This is an indicative range, not a quote: obtaining two firm local quotes is a Sprint 0 action item.</t>
        </is>
      </c>
    </row>
    <row r="21"/>
    <row r="22"/>
  </sheetData>
  <mergeCells count="1">
    <mergeCell ref="B20:G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Cash Flow by Month</t>
        </is>
      </c>
    </row>
    <row r="2">
      <c r="A2" s="2" t="inlineStr">
        <is>
          <t>Labour is spread by working weeks in each month. Infrastructure runs Aug–Dec.</t>
        </is>
      </c>
    </row>
    <row r="4" ht="28" customHeight="1">
      <c r="A4" s="5" t="inlineStr">
        <is>
          <t>Month</t>
        </is>
      </c>
      <c r="B4" s="5" t="inlineStr">
        <is>
          <t>Weeks</t>
        </is>
      </c>
      <c r="C4" s="5" t="inlineStr">
        <is>
          <t>Backend</t>
        </is>
      </c>
      <c r="D4" s="5" t="inlineStr">
        <is>
          <t>Frontend</t>
        </is>
      </c>
      <c r="E4" s="5" t="inlineStr">
        <is>
          <t>DevOps</t>
        </is>
      </c>
      <c r="F4" s="5" t="inlineStr">
        <is>
          <t>Infrastructure</t>
        </is>
      </c>
      <c r="G4" s="5" t="inlineStr">
        <is>
          <t>Monthly total</t>
        </is>
      </c>
      <c r="H4" s="5" t="inlineStr">
        <is>
          <t>Cumulative</t>
        </is>
      </c>
    </row>
    <row r="5">
      <c r="A5" s="6" t="inlineStr">
        <is>
          <t>Aug 2026</t>
        </is>
      </c>
      <c r="B5" s="22" t="n">
        <v>3</v>
      </c>
      <c r="C5" s="29">
        <f>Assumptions!$B$15*Assumptions!$B$19/Assumptions!$B$10*B5</f>
        <v/>
      </c>
      <c r="D5" s="29">
        <f>Assumptions!$B$16*Assumptions!$B$20/Assumptions!$B$10*B5</f>
        <v/>
      </c>
      <c r="E5" s="29">
        <f>Assumptions!$B$17*Assumptions!$B$21/Assumptions!$B$10*B5</f>
        <v/>
      </c>
      <c r="F5" s="27">
        <f>'Infra and Tooling'!$F$18/Assumptions!$B$23</f>
        <v/>
      </c>
      <c r="G5" s="29">
        <f>SUM(C5:F5)</f>
        <v/>
      </c>
      <c r="H5" s="29">
        <f>G5</f>
        <v/>
      </c>
    </row>
    <row r="6">
      <c r="A6" s="6" t="inlineStr">
        <is>
          <t>Sep 2026</t>
        </is>
      </c>
      <c r="B6" s="22" t="n">
        <v>4.3</v>
      </c>
      <c r="C6" s="29">
        <f>Assumptions!$B$15*Assumptions!$B$19/Assumptions!$B$10*B6</f>
        <v/>
      </c>
      <c r="D6" s="29">
        <f>Assumptions!$B$16*Assumptions!$B$20/Assumptions!$B$10*B6</f>
        <v/>
      </c>
      <c r="E6" s="29">
        <f>Assumptions!$B$17*Assumptions!$B$21/Assumptions!$B$10*B6</f>
        <v/>
      </c>
      <c r="F6" s="27">
        <f>'Infra and Tooling'!$F$18/Assumptions!$B$23</f>
        <v/>
      </c>
      <c r="G6" s="29">
        <f>SUM(C6:F6)</f>
        <v/>
      </c>
      <c r="H6" s="29">
        <f>H5+G6</f>
        <v/>
      </c>
    </row>
    <row r="7">
      <c r="A7" s="6" t="inlineStr">
        <is>
          <t>Oct 2026</t>
        </is>
      </c>
      <c r="B7" s="22" t="n">
        <v>4.4</v>
      </c>
      <c r="C7" s="29">
        <f>Assumptions!$B$15*Assumptions!$B$19/Assumptions!$B$10*B7</f>
        <v/>
      </c>
      <c r="D7" s="29">
        <f>Assumptions!$B$16*Assumptions!$B$20/Assumptions!$B$10*B7</f>
        <v/>
      </c>
      <c r="E7" s="29">
        <f>Assumptions!$B$17*Assumptions!$B$21/Assumptions!$B$10*B7</f>
        <v/>
      </c>
      <c r="F7" s="27">
        <f>'Infra and Tooling'!$F$18/Assumptions!$B$23</f>
        <v/>
      </c>
      <c r="G7" s="29">
        <f>SUM(C7:F7)</f>
        <v/>
      </c>
      <c r="H7" s="29">
        <f>H6+G7</f>
        <v/>
      </c>
    </row>
    <row r="8">
      <c r="A8" s="6" t="inlineStr">
        <is>
          <t>Nov 2026</t>
        </is>
      </c>
      <c r="B8" s="22" t="n">
        <v>3.3</v>
      </c>
      <c r="C8" s="29">
        <f>Assumptions!$B$15*Assumptions!$B$19/Assumptions!$B$10*B8</f>
        <v/>
      </c>
      <c r="D8" s="29">
        <f>Assumptions!$B$16*Assumptions!$B$20/Assumptions!$B$10*B8</f>
        <v/>
      </c>
      <c r="E8" s="29">
        <f>Assumptions!$B$17*Assumptions!$B$21/Assumptions!$B$10*B8</f>
        <v/>
      </c>
      <c r="F8" s="27">
        <f>'Infra and Tooling'!$F$18/Assumptions!$B$23</f>
        <v/>
      </c>
      <c r="G8" s="29">
        <f>SUM(C8:F8)</f>
        <v/>
      </c>
      <c r="H8" s="29">
        <f>H7+G8</f>
        <v/>
      </c>
    </row>
    <row r="9">
      <c r="A9" s="6" t="inlineStr">
        <is>
          <t>Dec 2026</t>
        </is>
      </c>
      <c r="B9" s="22" t="n">
        <v>0</v>
      </c>
      <c r="C9" s="29">
        <f>Assumptions!$B$15*Assumptions!$B$19/Assumptions!$B$10*B9</f>
        <v/>
      </c>
      <c r="D9" s="29">
        <f>Assumptions!$B$16*Assumptions!$B$20/Assumptions!$B$10*B9</f>
        <v/>
      </c>
      <c r="E9" s="29">
        <f>Assumptions!$B$17*Assumptions!$B$21/Assumptions!$B$10*B9</f>
        <v/>
      </c>
      <c r="F9" s="27">
        <f>'Infra and Tooling'!$F$18/Assumptions!$B$23</f>
        <v/>
      </c>
      <c r="G9" s="29">
        <f>SUM(C9:F9)</f>
        <v/>
      </c>
      <c r="H9" s="29">
        <f>H8+G9</f>
        <v/>
      </c>
    </row>
    <row r="10">
      <c r="A10" s="31" t="inlineStr">
        <is>
          <t>Total</t>
        </is>
      </c>
      <c r="B10" s="51">
        <f>SUM(B5:B9)</f>
        <v/>
      </c>
      <c r="C10" s="33">
        <f>SUM(C5:C9)</f>
        <v/>
      </c>
      <c r="D10" s="33">
        <f>SUM(D5:D9)</f>
        <v/>
      </c>
      <c r="E10" s="33">
        <f>SUM(E5:E9)</f>
        <v/>
      </c>
      <c r="F10" s="33">
        <f>SUM(F5:F9)</f>
        <v/>
      </c>
      <c r="G10" s="33">
        <f>SUM(G5:G9)</f>
        <v/>
      </c>
      <c r="H10" s="33">
        <f>H9</f>
        <v/>
      </c>
    </row>
    <row r="12">
      <c r="A12" s="6" t="inlineStr">
        <is>
          <t>Contingency (undrawn)</t>
        </is>
      </c>
      <c r="B12" s="27">
        <f>'Cost Breakdown'!$E$13</f>
        <v/>
      </c>
      <c r="D12" s="18" t="inlineStr">
        <is>
          <t>Weeks are working weeks within each calendar month across the 10 Aug – 20 Nov window. December carries infrastructure only, for hypercare.</t>
        </is>
      </c>
    </row>
    <row r="13">
      <c r="A13" s="6" t="inlineStr">
        <is>
          <t>Committed + contingency</t>
        </is>
      </c>
      <c r="B13" s="29">
        <f>G10+B12</f>
        <v/>
      </c>
    </row>
    <row r="14">
      <c r="A14" s="6" t="inlineStr">
        <is>
          <t>Reconciles to budget</t>
        </is>
      </c>
      <c r="B14" s="43">
        <f>IF(ROUND(B13-Assumptions!$B$5,0)=0,"OK","CHECK — see note")</f>
        <v/>
      </c>
    </row>
  </sheetData>
  <mergeCells count="1">
    <mergeCell ref="D12:H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5" customWidth="1" min="5" max="5"/>
    <col width="54" customWidth="1" min="6" max="6"/>
  </cols>
  <sheetData>
    <row r="1">
      <c r="A1" s="1" t="inlineStr">
        <is>
          <t>Scope Changes — Authentication &amp; Super Admin Console</t>
        </is>
      </c>
    </row>
    <row r="2">
      <c r="A2" s="2" t="inlineStr">
        <is>
          <t>Added after the first proposal draft. Phase 1 had no slack, so the cost is paid by displacement rather than absorbed silently.</t>
        </is>
      </c>
    </row>
    <row r="4">
      <c r="A4" s="14" t="inlineStr">
        <is>
          <t>ADDED TO PHASE 1 — cannot wait for peak week</t>
        </is>
      </c>
      <c r="B4" s="25" t="inlineStr"/>
      <c r="C4" s="25" t="inlineStr"/>
      <c r="D4" s="25" t="inlineStr"/>
      <c r="E4" s="25" t="inlineStr"/>
      <c r="F4" s="25" t="inlineStr"/>
    </row>
    <row r="5" ht="28" customHeight="1">
      <c r="A5" s="5" t="inlineStr">
        <is>
          <t>Item</t>
        </is>
      </c>
      <c r="B5" s="5" t="inlineStr">
        <is>
          <t>BE days</t>
        </is>
      </c>
      <c r="C5" s="5" t="inlineStr">
        <is>
          <t>FE days</t>
        </is>
      </c>
      <c r="D5" s="5" t="inlineStr">
        <is>
          <t>Ops days</t>
        </is>
      </c>
      <c r="E5" s="5" t="inlineStr">
        <is>
          <t>Cost (EGP)</t>
        </is>
      </c>
      <c r="F5" s="5" t="inlineStr">
        <is>
          <t>Why it cannot wait</t>
        </is>
      </c>
    </row>
    <row r="6">
      <c r="A6" s="20" t="inlineStr">
        <is>
          <t>Login, session policy, 2FA (Fortify)</t>
        </is>
      </c>
      <c r="B6" s="22" t="n">
        <v>1.5</v>
      </c>
      <c r="C6" s="22" t="n">
        <v>0</v>
      </c>
      <c r="D6" s="22" t="n">
        <v>0</v>
      </c>
      <c r="E6" s="29">
        <f>B6*Assumptions!$B$15/21+C6*Assumptions!$B$16/21+D6*Assumptions!$B$17/21</f>
        <v/>
      </c>
      <c r="F6" s="9" t="inlineStr">
        <is>
          <t>Gates everything else — nothing can be role-scoped until it exists</t>
        </is>
      </c>
    </row>
    <row r="7">
      <c r="A7" s="20" t="inlineStr">
        <is>
          <t>User management + roles UI</t>
        </is>
      </c>
      <c r="B7" s="22" t="n">
        <v>1</v>
      </c>
      <c r="C7" s="22" t="n">
        <v>0.5</v>
      </c>
      <c r="D7" s="22" t="n">
        <v>0</v>
      </c>
      <c r="E7" s="29">
        <f>B7*Assumptions!$B$15/21+C7*Assumptions!$B$16/21+D7*Assumptions!$B$17/21</f>
        <v/>
      </c>
      <c r="F7" s="9" t="inlineStr">
        <is>
          <t>Onboarding and offboarding staff during peak week</t>
        </is>
      </c>
    </row>
    <row r="8">
      <c r="A8" s="20" t="inlineStr">
        <is>
          <t>Permission matrix editor</t>
        </is>
      </c>
      <c r="B8" s="22" t="n">
        <v>0.5</v>
      </c>
      <c r="C8" s="22" t="n">
        <v>1</v>
      </c>
      <c r="D8" s="22" t="n">
        <v>0</v>
      </c>
      <c r="E8" s="29">
        <f>B8*Assumptions!$B$15/21+C8*Assumptions!$B$16/21+D8*Assumptions!$B$17/21</f>
        <v/>
      </c>
      <c r="F8" s="9" t="inlineStr">
        <is>
          <t>Tuning a role without a deployment</t>
        </is>
      </c>
    </row>
    <row r="9">
      <c r="A9" s="20" t="inlineStr">
        <is>
          <t>Integrations console + credential rotation</t>
        </is>
      </c>
      <c r="B9" s="22" t="n">
        <v>2</v>
      </c>
      <c r="C9" s="22" t="n">
        <v>1</v>
      </c>
      <c r="D9" s="22" t="n">
        <v>0</v>
      </c>
      <c r="E9" s="29">
        <f>B9*Assumptions!$B$15/21+C9*Assumptions!$B$16/21+D9*Assumptions!$B$17/21</f>
        <v/>
      </c>
      <c r="F9" s="9" t="inlineStr">
        <is>
          <t>Rotating a leaked key, checking webhook health</t>
        </is>
      </c>
    </row>
    <row r="10">
      <c r="A10" s="20" t="inlineStr">
        <is>
          <t>System health + dead-letter replay</t>
        </is>
      </c>
      <c r="B10" s="22" t="n">
        <v>2</v>
      </c>
      <c r="C10" s="22" t="n">
        <v>0.5</v>
      </c>
      <c r="D10" s="22" t="n">
        <v>0</v>
      </c>
      <c r="E10" s="29">
        <f>B10*Assumptions!$B$15/21+C10*Assumptions!$B$16/21+D10*Assumptions!$B$17/21</f>
        <v/>
      </c>
      <c r="F10" s="9" t="inlineStr">
        <is>
          <t>Replaying a failed webhook at 2am on Black Friday</t>
        </is>
      </c>
    </row>
    <row r="11">
      <c r="A11" s="52" t="inlineStr">
        <is>
          <t>Added to Phase 1</t>
        </is>
      </c>
      <c r="B11" s="53">
        <f>SUM(B6:B10)</f>
        <v/>
      </c>
      <c r="C11" s="53">
        <f>SUM(C6:C10)</f>
        <v/>
      </c>
      <c r="D11" s="53">
        <f>SUM(D6:D10)</f>
        <v/>
      </c>
      <c r="E11" s="54">
        <f>SUM(E6:E10)</f>
        <v/>
      </c>
      <c r="F11" s="55" t="inlineStr">
        <is>
          <t>Total engineering days added inside the Phase 1 window</t>
        </is>
      </c>
    </row>
    <row r="13">
      <c r="A13" s="14" t="inlineStr">
        <is>
          <t>DISPLACED TO PHASE 1b — pays for the above</t>
        </is>
      </c>
      <c r="B13" s="25" t="inlineStr"/>
      <c r="C13" s="25" t="inlineStr"/>
      <c r="D13" s="25" t="inlineStr"/>
      <c r="E13" s="25" t="inlineStr"/>
      <c r="F13" s="25" t="inlineStr"/>
    </row>
    <row r="14" ht="28" customHeight="1">
      <c r="A14" s="5" t="inlineStr">
        <is>
          <t>Item</t>
        </is>
      </c>
      <c r="B14" s="5" t="inlineStr">
        <is>
          <t>BE days</t>
        </is>
      </c>
      <c r="C14" s="5" t="inlineStr">
        <is>
          <t>FE days</t>
        </is>
      </c>
      <c r="D14" s="5" t="inlineStr">
        <is>
          <t>Ops days</t>
        </is>
      </c>
      <c r="E14" s="5" t="inlineStr">
        <is>
          <t>Cost (EGP)</t>
        </is>
      </c>
      <c r="F14" s="5" t="inlineStr">
        <is>
          <t>Why it is safe to move</t>
        </is>
      </c>
    </row>
    <row r="15">
      <c r="A15" s="20" t="inlineStr">
        <is>
          <t>Basic vendor scorecard (§10)</t>
        </is>
      </c>
      <c r="B15" s="22" t="n">
        <v>2</v>
      </c>
      <c r="C15" s="22" t="n">
        <v>2</v>
      </c>
      <c r="D15" s="22" t="n">
        <v>0</v>
      </c>
      <c r="E15" s="29">
        <f>B15*Assumptions!$B$15/21+C15*Assumptions!$B$16/21+D15*Assumptions!$B$17/21</f>
        <v/>
      </c>
      <c r="F15" s="9" t="inlineStr">
        <is>
          <t>A read model over data captured from day one — ships with full history</t>
        </is>
      </c>
    </row>
    <row r="16">
      <c r="A16" s="20" t="inlineStr">
        <is>
          <t>Executive dashboard (§11)</t>
        </is>
      </c>
      <c r="B16" s="22" t="n">
        <v>1</v>
      </c>
      <c r="C16" s="22" t="n">
        <v>2</v>
      </c>
      <c r="D16" s="22" t="n">
        <v>0</v>
      </c>
      <c r="E16" s="29">
        <f>B16*Assumptions!$B$15/21+C16*Assumptions!$B$16/21+D16*Assumptions!$B$17/21</f>
        <v/>
      </c>
      <c r="F16" s="9" t="inlineStr">
        <is>
          <t>Same: a view over data already being collected, nothing lost retroactively</t>
        </is>
      </c>
    </row>
    <row r="17">
      <c r="A17" s="20" t="inlineStr">
        <is>
          <t>Vendor product submission (§8.1)</t>
        </is>
      </c>
      <c r="B17" s="22" t="n">
        <v>2</v>
      </c>
      <c r="C17" s="22" t="n">
        <v>2</v>
      </c>
      <c r="D17" s="22" t="n">
        <v>0</v>
      </c>
      <c r="E17" s="29">
        <f>B17*Assumptions!$B$15/21+C17*Assumptions!$B$16/21+D17*Assumptions!$B$17/21</f>
        <v/>
      </c>
      <c r="F17" s="9" t="inlineStr">
        <is>
          <t>Vendors are onboarded through Ops today, so the manual path already exists</t>
        </is>
      </c>
    </row>
    <row r="18">
      <c r="A18" s="31" t="inlineStr">
        <is>
          <t>Displaced out of Phase 1</t>
        </is>
      </c>
      <c r="B18" s="51">
        <f>SUM(B15:B17)</f>
        <v/>
      </c>
      <c r="C18" s="51">
        <f>SUM(C15:C17)</f>
        <v/>
      </c>
      <c r="D18" s="51">
        <f>SUM(D15:D17)</f>
        <v/>
      </c>
      <c r="E18" s="33">
        <f>SUM(E15:E17)</f>
        <v/>
      </c>
      <c r="F18" s="49" t="inlineStr">
        <is>
          <t>Total engineering days moved to Phase 1b</t>
        </is>
      </c>
    </row>
    <row r="20">
      <c r="A20" s="39" t="inlineStr">
        <is>
          <t>NET EFFECT ON PHASE 1</t>
        </is>
      </c>
      <c r="B20" s="56">
        <f>B11-B18</f>
        <v/>
      </c>
      <c r="C20" s="56">
        <f>C11-C18</f>
        <v/>
      </c>
      <c r="D20" s="56">
        <f>D11-D18</f>
        <v/>
      </c>
      <c r="E20" s="41">
        <f>E11-E18</f>
        <v/>
      </c>
      <c r="F20" s="40" t="inlineStr"/>
    </row>
    <row r="22">
      <c r="A22" s="6" t="inlineStr">
        <is>
          <t>Phase 1 budget impact</t>
        </is>
      </c>
      <c r="B22" s="43">
        <f>IF(E20&lt;=0,"NONE — the trade pays for itself","SHORTFALL — see Sensitivity")</f>
        <v/>
      </c>
      <c r="C22" s="57" t="n"/>
      <c r="D22" s="44" t="n"/>
    </row>
    <row r="24">
      <c r="A24" s="18" t="inlineStr">
        <is>
          <t>Stated plainly: the console is real work and Phase 1 had no slack, so something had to give. Displacing three read-only surfaces is the cheapest way to pay for it — they are views over data the system collects from day one, so they lose no history and simply arrive three weeks after go-live. The alternative, drawing on contingency, is modelled on the Sensitivity sheet and is not recommended while the PDPL hosting risk is open.</t>
        </is>
      </c>
    </row>
    <row r="25"/>
    <row r="26"/>
    <row r="27"/>
  </sheetData>
  <mergeCells count="2">
    <mergeCell ref="B22:D22"/>
    <mergeCell ref="A24:F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6" customWidth="1" min="5" max="5"/>
    <col width="46" customWidth="1" min="6" max="6"/>
  </cols>
  <sheetData>
    <row r="1">
      <c r="A1" s="1" t="inlineStr">
        <is>
          <t>Phase 1b and Phase 2 — Indicative Estimates</t>
        </is>
      </c>
    </row>
    <row r="2">
      <c r="A2" s="2" t="inlineStr">
        <is>
          <t>Not funded by the 300,000 EGP Phase 1 budget. Presented so the client can plan.</t>
        </is>
      </c>
    </row>
    <row r="4">
      <c r="A4" s="14" t="inlineStr">
        <is>
          <t>PHASE 1b — 23 Nov to 11 Dec 2026 (3 weeks)</t>
        </is>
      </c>
      <c r="B4" s="25" t="inlineStr"/>
      <c r="C4" s="25" t="inlineStr"/>
      <c r="D4" s="25" t="inlineStr"/>
      <c r="E4" s="25" t="inlineStr"/>
      <c r="F4" s="25" t="inlineStr"/>
    </row>
    <row r="5" ht="28" customHeight="1">
      <c r="A5" s="5" t="inlineStr">
        <is>
          <t>Deliverable</t>
        </is>
      </c>
      <c r="B5" s="5" t="inlineStr">
        <is>
          <t>BE days</t>
        </is>
      </c>
      <c r="C5" s="5" t="inlineStr">
        <is>
          <t>FE days</t>
        </is>
      </c>
      <c r="D5" s="5" t="inlineStr">
        <is>
          <t>Ops days</t>
        </is>
      </c>
      <c r="E5" s="5" t="inlineStr">
        <is>
          <t>Cost (EGP)</t>
        </is>
      </c>
      <c r="F5" s="5" t="inlineStr">
        <is>
          <t>Notes</t>
        </is>
      </c>
    </row>
    <row r="6">
      <c r="A6" s="20" t="inlineStr">
        <is>
          <t>Customer self-service returns portal</t>
        </is>
      </c>
      <c r="B6" s="22" t="n">
        <v>4</v>
      </c>
      <c r="C6" s="22" t="n">
        <v>8</v>
      </c>
      <c r="D6" s="22" t="n">
        <v>1</v>
      </c>
      <c r="E6" s="29">
        <f>B6*Assumptions!$B$15/21+C6*Assumptions!$B$16/21+D6*Assumptions!$B$17/21</f>
        <v/>
      </c>
      <c r="F6" s="9" t="inlineStr">
        <is>
          <t>Order number + phone lookup, no account required</t>
        </is>
      </c>
    </row>
    <row r="7">
      <c r="A7" s="20" t="inlineStr">
        <is>
          <t>Returns analytics dashboard</t>
        </is>
      </c>
      <c r="B7" s="22" t="n">
        <v>4</v>
      </c>
      <c r="C7" s="22" t="n">
        <v>3</v>
      </c>
      <c r="D7" s="22" t="n">
        <v>0</v>
      </c>
      <c r="E7" s="29">
        <f>B7*Assumptions!$B$15/21+C7*Assumptions!$B$16/21+D7*Assumptions!$B$17/21</f>
        <v/>
      </c>
      <c r="F7" s="9" t="inlineStr">
        <is>
          <t>By reason, vendor and stakeholder</t>
        </is>
      </c>
    </row>
    <row r="8">
      <c r="A8" s="20" t="inlineStr">
        <is>
          <t>E-stebdal parallel-run validation</t>
        </is>
      </c>
      <c r="B8" s="22" t="n">
        <v>2</v>
      </c>
      <c r="C8" s="22" t="n">
        <v>1</v>
      </c>
      <c r="D8" s="22" t="n">
        <v>1</v>
      </c>
      <c r="E8" s="29">
        <f>B8*Assumptions!$B$15/21+C8*Assumptions!$B$16/21+D8*Assumptions!$B$17/21</f>
        <v/>
      </c>
      <c r="F8" s="9" t="inlineStr">
        <is>
          <t>Data parity check before January cutover</t>
        </is>
      </c>
    </row>
    <row r="9">
      <c r="A9" s="20" t="inlineStr">
        <is>
          <t>Super Admin: business rules engine UI</t>
        </is>
      </c>
      <c r="B9" s="22" t="n">
        <v>3</v>
      </c>
      <c r="C9" s="22" t="n">
        <v>2</v>
      </c>
      <c r="D9" s="22" t="n">
        <v>0</v>
      </c>
      <c r="E9" s="29">
        <f>B9*Assumptions!$B$15/21+C9*Assumptions!$B$16/21+D9*Assumptions!$B$17/21</f>
        <v/>
      </c>
      <c r="F9" s="9" t="inlineStr">
        <is>
          <t>Phase 1 seeds these rules by migration</t>
        </is>
      </c>
    </row>
    <row r="10">
      <c r="A10" s="20" t="inlineStr">
        <is>
          <t>Super Admin: report builder + scheduling</t>
        </is>
      </c>
      <c r="B10" s="22" t="n">
        <v>2</v>
      </c>
      <c r="C10" s="22" t="n">
        <v>2</v>
      </c>
      <c r="D10" s="22" t="n">
        <v>0</v>
      </c>
      <c r="E10" s="29">
        <f>B10*Assumptions!$B$15/21+C10*Assumptions!$B$16/21+D10*Assumptions!$B$17/21</f>
        <v/>
      </c>
      <c r="F10" s="9" t="inlineStr">
        <is>
          <t>Phase 1 ships a fixed set of built-in reports</t>
        </is>
      </c>
    </row>
    <row r="11">
      <c r="A11" s="20" t="inlineStr">
        <is>
          <t>Basic vendor scorecard (displaced from P1)</t>
        </is>
      </c>
      <c r="B11" s="22" t="n">
        <v>2</v>
      </c>
      <c r="C11" s="22" t="n">
        <v>2</v>
      </c>
      <c r="D11" s="22" t="n">
        <v>0</v>
      </c>
      <c r="E11" s="29">
        <f>B11*Assumptions!$B$15/21+C11*Assumptions!$B$16/21+D11*Assumptions!$B$17/21</f>
        <v/>
      </c>
      <c r="F11" s="9" t="inlineStr">
        <is>
          <t>Read model - ships with full history</t>
        </is>
      </c>
    </row>
    <row r="12">
      <c r="A12" s="20" t="inlineStr">
        <is>
          <t>Executive dashboard (displaced from P1)</t>
        </is>
      </c>
      <c r="B12" s="22" t="n">
        <v>1</v>
      </c>
      <c r="C12" s="22" t="n">
        <v>2</v>
      </c>
      <c r="D12" s="22" t="n">
        <v>0</v>
      </c>
      <c r="E12" s="29">
        <f>B12*Assumptions!$B$15/21+C12*Assumptions!$B$16/21+D12*Assumptions!$B$17/21</f>
        <v/>
      </c>
      <c r="F12" s="9" t="inlineStr">
        <is>
          <t>Read model - ships with full history</t>
        </is>
      </c>
    </row>
    <row r="13">
      <c r="A13" s="20" t="inlineStr">
        <is>
          <t>Vendor product submission (displaced from P1)</t>
        </is>
      </c>
      <c r="B13" s="22" t="n">
        <v>2</v>
      </c>
      <c r="C13" s="22" t="n">
        <v>2</v>
      </c>
      <c r="D13" s="22" t="n">
        <v>0</v>
      </c>
      <c r="E13" s="29">
        <f>B13*Assumptions!$B$15/21+C13*Assumptions!$B$16/21+D13*Assumptions!$B$17/21</f>
        <v/>
      </c>
      <c r="F13" s="9" t="inlineStr">
        <is>
          <t>Vendors onboard through Ops in the interim</t>
        </is>
      </c>
    </row>
    <row r="14">
      <c r="A14" s="31" t="inlineStr">
        <is>
          <t>Phase 1b total</t>
        </is>
      </c>
      <c r="B14" s="51">
        <f>SUM(B6:B13)</f>
        <v/>
      </c>
      <c r="C14" s="51">
        <f>SUM(C6:C13)</f>
        <v/>
      </c>
      <c r="D14" s="51">
        <f>SUM(D6:D13)</f>
        <v/>
      </c>
      <c r="E14" s="33">
        <f>SUM(E6:E13)</f>
        <v/>
      </c>
      <c r="F14" s="49" t="inlineStr">
        <is>
          <t>Assumes 21 working days per month</t>
        </is>
      </c>
    </row>
    <row r="16">
      <c r="A16" s="14" t="inlineStr">
        <is>
          <t>PHASE 2 — from January 2027</t>
        </is>
      </c>
      <c r="B16" s="25" t="inlineStr"/>
      <c r="C16" s="25" t="inlineStr"/>
      <c r="D16" s="25" t="inlineStr"/>
      <c r="E16" s="25" t="inlineStr"/>
      <c r="F16" s="25" t="inlineStr"/>
    </row>
    <row r="17" ht="28" customHeight="1">
      <c r="A17" s="5" t="inlineStr">
        <is>
          <t>Deliverable</t>
        </is>
      </c>
      <c r="B17" s="5" t="inlineStr">
        <is>
          <t>BE days</t>
        </is>
      </c>
      <c r="C17" s="5" t="inlineStr">
        <is>
          <t>FE days</t>
        </is>
      </c>
      <c r="D17" s="5" t="inlineStr">
        <is>
          <t>Ops days</t>
        </is>
      </c>
      <c r="E17" s="5" t="inlineStr">
        <is>
          <t>Cost (EGP)</t>
        </is>
      </c>
      <c r="F17" s="5" t="inlineStr">
        <is>
          <t>Requirement</t>
        </is>
      </c>
    </row>
    <row r="18">
      <c r="A18" s="20" t="inlineStr">
        <is>
          <t>Raw fabric inventory, BOM and forecasting</t>
        </is>
      </c>
      <c r="B18" s="22" t="n">
        <v>15</v>
      </c>
      <c r="C18" s="22" t="n">
        <v>6</v>
      </c>
      <c r="D18" s="22" t="n">
        <v>0</v>
      </c>
      <c r="E18" s="29">
        <f>B18*Assumptions!$B$15/21+C18*Assumptions!$B$16/21+D18*Assumptions!$B$17/21</f>
        <v/>
      </c>
      <c r="F18" s="9" t="inlineStr">
        <is>
          <t>Req 7.2 — largest single Phase 2 item</t>
        </is>
      </c>
    </row>
    <row r="19">
      <c r="A19" s="20" t="inlineStr">
        <is>
          <t>Automated Paymob Send disbursement</t>
        </is>
      </c>
      <c r="B19" s="22" t="n">
        <v>8</v>
      </c>
      <c r="C19" s="22" t="n">
        <v>2</v>
      </c>
      <c r="D19" s="22" t="n">
        <v>1</v>
      </c>
      <c r="E19" s="29">
        <f>B19*Assumptions!$B$15/21+C19*Assumptions!$B$16/21+D19*Assumptions!$B$17/21</f>
        <v/>
      </c>
      <c r="F19" s="9" t="inlineStr">
        <is>
          <t>Req 8.6 — human approval gate retained</t>
        </is>
      </c>
    </row>
    <row r="20">
      <c r="A20" s="20" t="inlineStr">
        <is>
          <t>Second courier adapter</t>
        </is>
      </c>
      <c r="B20" s="22" t="n">
        <v>10</v>
      </c>
      <c r="C20" s="22" t="n">
        <v>3</v>
      </c>
      <c r="D20" s="22" t="n">
        <v>1</v>
      </c>
      <c r="E20" s="29">
        <f>B20*Assumptions!$B$15/21+C20*Assumptions!$B$16/21+D20*Assumptions!$B$17/21</f>
        <v/>
      </c>
      <c r="F20" s="9" t="inlineStr">
        <is>
          <t>Req 3.1 — per-item courier selection</t>
        </is>
      </c>
    </row>
    <row r="21">
      <c r="A21" s="20" t="inlineStr">
        <is>
          <t>Advanced vendor scorecard and penalties</t>
        </is>
      </c>
      <c r="B21" s="22" t="n">
        <v>10</v>
      </c>
      <c r="C21" s="22" t="n">
        <v>6</v>
      </c>
      <c r="D21" s="22" t="n">
        <v>0</v>
      </c>
      <c r="E21" s="29">
        <f>B21*Assumptions!$B$15/21+C21*Assumptions!$B$16/21+D21*Assumptions!$B$17/21</f>
        <v/>
      </c>
      <c r="F21" s="9" t="inlineStr">
        <is>
          <t>Req 10</t>
        </is>
      </c>
    </row>
    <row r="22">
      <c r="A22" s="20" t="inlineStr">
        <is>
          <t>Executive BI dashboard</t>
        </is>
      </c>
      <c r="B22" s="22" t="n">
        <v>8</v>
      </c>
      <c r="C22" s="22" t="n">
        <v>6</v>
      </c>
      <c r="D22" s="22" t="n">
        <v>0</v>
      </c>
      <c r="E22" s="29">
        <f>B22*Assumptions!$B$15/21+C22*Assumptions!$B$16/21+D22*Assumptions!$B$17/21</f>
        <v/>
      </c>
      <c r="F22" s="9" t="inlineStr">
        <is>
          <t>Req 11</t>
        </is>
      </c>
    </row>
    <row r="23">
      <c r="A23" s="20" t="inlineStr">
        <is>
          <t>Automated recall / win-back workflows</t>
        </is>
      </c>
      <c r="B23" s="22" t="n">
        <v>7</v>
      </c>
      <c r="C23" s="22" t="n">
        <v>4</v>
      </c>
      <c r="D23" s="22" t="n">
        <v>0</v>
      </c>
      <c r="E23" s="29">
        <f>B23*Assumptions!$B$15/21+C23*Assumptions!$B$16/21+D23*Assumptions!$B$17/21</f>
        <v/>
      </c>
      <c r="F23" s="9" t="inlineStr">
        <is>
          <t>The §1.2 revenue case, automated</t>
        </is>
      </c>
    </row>
    <row r="24">
      <c r="A24" s="31" t="inlineStr">
        <is>
          <t>Phase 2 total</t>
        </is>
      </c>
      <c r="B24" s="51">
        <f>SUM(B18:B23)</f>
        <v/>
      </c>
      <c r="C24" s="51">
        <f>SUM(C18:C23)</f>
        <v/>
      </c>
      <c r="D24" s="51">
        <f>SUM(D18:D23)</f>
        <v/>
      </c>
      <c r="E24" s="33">
        <f>SUM(E18:E23)</f>
        <v/>
      </c>
      <c r="F24" s="49" t="inlineStr">
        <is>
          <t>Excludes infrastructure</t>
        </is>
      </c>
    </row>
    <row r="26">
      <c r="A26" s="39" t="inlineStr">
        <is>
          <t>Phase 1 + 1b + 2 combined</t>
        </is>
      </c>
      <c r="B26" s="40" t="inlineStr"/>
      <c r="C26" s="40" t="inlineStr"/>
      <c r="D26" s="40" t="inlineStr"/>
      <c r="E26" s="41">
        <f>'Cost Breakdown'!$E$15+E14+E24</f>
        <v/>
      </c>
      <c r="F26" s="4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62" customWidth="1" min="5" max="5"/>
  </cols>
  <sheetData>
    <row r="1">
      <c r="A1" s="1" t="inlineStr">
        <is>
          <t>Sensitivity Analysis</t>
        </is>
      </c>
    </row>
    <row r="2">
      <c r="A2" s="2" t="inlineStr">
        <is>
          <t>What the budget buys under different assumptions — and the three levers if the schedule slips.</t>
        </is>
      </c>
    </row>
    <row r="4">
      <c r="A4" s="14" t="inlineStr">
        <is>
          <t>BUDGET SENSITIVITY</t>
        </is>
      </c>
      <c r="B4" s="25" t="inlineStr"/>
      <c r="C4" s="25" t="inlineStr"/>
      <c r="D4" s="25" t="inlineStr"/>
      <c r="E4" s="25" t="inlineStr"/>
    </row>
    <row r="5" ht="28" customHeight="1">
      <c r="A5" s="5" t="inlineStr">
        <is>
          <t>Scenario</t>
        </is>
      </c>
      <c r="B5" s="5" t="inlineStr">
        <is>
          <t>Budget (EGP)</t>
        </is>
      </c>
      <c r="C5" s="5" t="inlineStr">
        <is>
          <t>Person-months</t>
        </is>
      </c>
      <c r="D5" s="5" t="inlineStr">
        <is>
          <t>Δ vs plan</t>
        </is>
      </c>
      <c r="E5" s="5" t="inlineStr">
        <is>
          <t>Scope consequence</t>
        </is>
      </c>
    </row>
    <row r="6">
      <c r="A6" s="20" t="inlineStr">
        <is>
          <t>Budget −20%</t>
        </is>
      </c>
      <c r="B6" s="29">
        <f>Assumptions!$B$5*0.8</f>
        <v/>
      </c>
      <c r="C6" s="23">
        <f>(B6-'Infra and Tooling'!$F$18-B6*'Cost Breakdown'!$F$13)/'Cost Breakdown'!$B$19</f>
        <v/>
      </c>
      <c r="D6" s="23">
        <f>C6-Assumptions!$B$26</f>
        <v/>
      </c>
      <c r="E6" s="9" t="inlineStr">
        <is>
          <t>Phase 1 loses settlement automation AND the vendor scorecard. Order, shipping, returns and finance survive.</t>
        </is>
      </c>
    </row>
    <row r="7">
      <c r="A7" s="20" t="inlineStr">
        <is>
          <t>Budget −10%</t>
        </is>
      </c>
      <c r="B7" s="29">
        <f>Assumptions!$B$5*0.9</f>
        <v/>
      </c>
      <c r="C7" s="23">
        <f>(B7-'Infra and Tooling'!$F$18-B7*'Cost Breakdown'!$F$13)/'Cost Breakdown'!$B$19</f>
        <v/>
      </c>
      <c r="D7" s="23">
        <f>C7-Assumptions!$B$26</f>
        <v/>
      </c>
      <c r="E7" s="9" t="inlineStr">
        <is>
          <t>Vendor scorecard deferred to Phase 1b. Everything else holds.</t>
        </is>
      </c>
    </row>
    <row r="8">
      <c r="A8" s="31" t="inlineStr">
        <is>
          <t>Plan as proposed</t>
        </is>
      </c>
      <c r="B8" s="58">
        <f>Assumptions!$B$5*1.0</f>
        <v/>
      </c>
      <c r="C8" s="59">
        <f>(B8-'Infra and Tooling'!$F$18-B8*'Cost Breakdown'!$F$13)/'Cost Breakdown'!$B$19</f>
        <v/>
      </c>
      <c r="D8" s="59">
        <f>C8-Assumptions!$B$26</f>
        <v/>
      </c>
      <c r="E8" s="60" t="inlineStr">
        <is>
          <t>Full Phase 1 scope as defined in proposal §3.1. Zero slack.</t>
        </is>
      </c>
    </row>
    <row r="9">
      <c r="A9" s="20" t="inlineStr">
        <is>
          <t>Budget +10%</t>
        </is>
      </c>
      <c r="B9" s="29">
        <f>Assumptions!$B$5*1.1</f>
        <v/>
      </c>
      <c r="C9" s="23">
        <f>(B9-'Infra and Tooling'!$F$18-B9*'Cost Breakdown'!$F$13)/'Cost Breakdown'!$B$19</f>
        <v/>
      </c>
      <c r="D9" s="23">
        <f>C9-Assumptions!$B$26</f>
        <v/>
      </c>
      <c r="E9" s="9" t="inlineStr">
        <is>
          <t>Restores ~3 weeks of slack — the single most valuable addition, given Phase 1 currently has none.</t>
        </is>
      </c>
    </row>
    <row r="10">
      <c r="A10" s="20" t="inlineStr">
        <is>
          <t>Budget +20%</t>
        </is>
      </c>
      <c r="B10" s="29">
        <f>Assumptions!$B$5*1.2</f>
        <v/>
      </c>
      <c r="C10" s="23">
        <f>(B10-'Infra and Tooling'!$F$18-B10*'Cost Breakdown'!$F$13)/'Cost Breakdown'!$B$19</f>
        <v/>
      </c>
      <c r="D10" s="23">
        <f>C10-Assumptions!$B$26</f>
        <v/>
      </c>
      <c r="E10" s="9" t="inlineStr">
        <is>
          <t>Pulls the customer self-service returns portal back into Phase 1.</t>
        </is>
      </c>
    </row>
    <row r="12">
      <c r="A12" s="14" t="inlineStr">
        <is>
          <t>TEAM MODEL SENSITIVITY</t>
        </is>
      </c>
      <c r="B12" s="25" t="inlineStr"/>
      <c r="C12" s="25" t="inlineStr"/>
      <c r="D12" s="25" t="inlineStr"/>
      <c r="E12" s="25" t="inlineStr"/>
    </row>
    <row r="13" ht="28" customHeight="1">
      <c r="A13" s="5" t="inlineStr">
        <is>
          <t>Engagement model</t>
        </is>
      </c>
      <c r="B13" s="5" t="inlineStr">
        <is>
          <t>Rate multiple</t>
        </is>
      </c>
      <c r="C13" s="5" t="inlineStr">
        <is>
          <t>Person-months</t>
        </is>
      </c>
      <c r="D13" s="5" t="inlineStr">
        <is>
          <t>Δ vs plan</t>
        </is>
      </c>
      <c r="E13" s="5" t="inlineStr">
        <is>
          <t>Verdict</t>
        </is>
      </c>
    </row>
    <row r="14">
      <c r="A14" s="31" t="inlineStr">
        <is>
          <t>In-house salaried (assumed)</t>
        </is>
      </c>
      <c r="B14" s="61" t="n">
        <v>1</v>
      </c>
      <c r="C14" s="59">
        <f>Assumptions!$B$26/B14</f>
        <v/>
      </c>
      <c r="D14" s="59">
        <f>C14-Assumptions!$B$26</f>
        <v/>
      </c>
      <c r="E14" s="60" t="inlineStr">
        <is>
          <t>Phase 1 scope is achievable. This is the model the budget is built on.</t>
        </is>
      </c>
    </row>
    <row r="15">
      <c r="A15" s="35" t="inlineStr">
        <is>
          <t>Freelance / contractor</t>
        </is>
      </c>
      <c r="B15" s="62" t="n">
        <v>1.5</v>
      </c>
      <c r="C15" s="63">
        <f>Assumptions!$B$26/B15</f>
        <v/>
      </c>
      <c r="D15" s="63">
        <f>C15-Assumptions!$B$26</f>
        <v/>
      </c>
      <c r="E15" s="38" t="inlineStr">
        <is>
          <t>Buys roughly two thirds of the person-months. Phase 1 must shed settlement, scorecard and vendor portal v1.</t>
        </is>
      </c>
    </row>
    <row r="16">
      <c r="A16" s="35" t="inlineStr">
        <is>
          <t>Agency / software house</t>
        </is>
      </c>
      <c r="B16" s="62" t="n">
        <v>2.5</v>
      </c>
      <c r="C16" s="63">
        <f>Assumptions!$B$26/B16</f>
        <v/>
      </c>
      <c r="D16" s="63">
        <f>C16-Assumptions!$B$26</f>
        <v/>
      </c>
      <c r="E16" s="38" t="inlineStr">
        <is>
          <t>Buys under half. 300,000 EGP funds an MVP — Shopify sync, item splitting and shipping only. Returns and finance would not fit.</t>
        </is>
      </c>
    </row>
    <row r="19">
      <c r="A19" s="14" t="inlineStr">
        <is>
          <t>FUNDING THE ADMIN CONSOLE</t>
        </is>
      </c>
      <c r="B19" s="25" t="inlineStr"/>
      <c r="C19" s="25" t="inlineStr"/>
      <c r="D19" s="25" t="inlineStr"/>
      <c r="E19" s="25" t="inlineStr"/>
    </row>
    <row r="20" ht="28" customHeight="1">
      <c r="A20" s="5" t="inlineStr">
        <is>
          <t>Option</t>
        </is>
      </c>
      <c r="B20" s="5" t="inlineStr">
        <is>
          <t>Cost (EGP)</t>
        </is>
      </c>
      <c r="C20" s="5" t="inlineStr">
        <is>
          <t>Contingency left</t>
        </is>
      </c>
      <c r="D20" s="5" t="inlineStr">
        <is>
          <t>Preference</t>
        </is>
      </c>
      <c r="E20" s="5" t="inlineStr">
        <is>
          <t>Consequence</t>
        </is>
      </c>
    </row>
    <row r="21">
      <c r="A21" s="31" t="inlineStr">
        <is>
          <t>1. Displace 11 days of read-only UI</t>
        </is>
      </c>
      <c r="B21" s="64" t="n">
        <v>0</v>
      </c>
      <c r="C21" s="65">
        <f>'Cost Breakdown'!$E$13</f>
        <v/>
      </c>
      <c r="D21" s="66" t="inlineStr">
        <is>
          <t>recommended</t>
        </is>
      </c>
      <c r="E21" s="60" t="inlineStr">
        <is>
          <t>Vendor scorecard, executive dashboard and vendor product submission move to Phase 1b. All three are views over data captured from day one, so nothing is lost retroactively.</t>
        </is>
      </c>
    </row>
    <row r="22">
      <c r="A22" s="35" t="inlineStr">
        <is>
          <t>2. Draw on contingency</t>
        </is>
      </c>
      <c r="B22" s="67">
        <f>'Scope Changes'!$E$11</f>
        <v/>
      </c>
      <c r="C22" s="36">
        <f>'Cost Breakdown'!$E$13-B22</f>
        <v/>
      </c>
      <c r="D22" s="68" t="inlineStr">
        <is>
          <t>not while PDPL is open</t>
        </is>
      </c>
      <c r="E22" s="38" t="inlineStr">
        <is>
          <t>Arithmetically it fits, but leaves too little against risk R1 - the PDPL hosting fallback alone could need up to 28,500 EGP.</t>
        </is>
      </c>
    </row>
    <row r="23">
      <c r="A23" s="35" t="inlineStr">
        <is>
          <t>3. Increase the budget</t>
        </is>
      </c>
      <c r="B23" s="67">
        <f>'Scope Changes'!$E$11</f>
        <v/>
      </c>
      <c r="C23" s="36">
        <f>'Cost Breakdown'!$E$13-B23</f>
        <v/>
      </c>
      <c r="D23" s="68" t="inlineStr">
        <is>
          <t>client's call</t>
        </is>
      </c>
      <c r="E23" s="38" t="inlineStr">
        <is>
          <t>Roughly 16,000-20,000 EGP. Keeps every Phase 1 surface and restores the contingency.</t>
        </is>
      </c>
    </row>
    <row r="26">
      <c r="A26" s="14" t="inlineStr">
        <is>
          <t>SCHEDULE LEVERS</t>
        </is>
      </c>
      <c r="B26" s="25" t="inlineStr"/>
      <c r="C26" s="25" t="inlineStr"/>
      <c r="D26" s="25" t="inlineStr"/>
      <c r="E26" s="25" t="inlineStr"/>
    </row>
    <row r="27" ht="28" customHeight="1">
      <c r="A27" s="5" t="inlineStr">
        <is>
          <t>Lever</t>
        </is>
      </c>
      <c r="B27" s="5" t="inlineStr">
        <is>
          <t>Cost (EGP)</t>
        </is>
      </c>
      <c r="C27" s="5" t="inlineStr">
        <is>
          <t>Time recovered</t>
        </is>
      </c>
      <c r="D27" s="5" t="inlineStr">
        <is>
          <t>Preference</t>
        </is>
      </c>
      <c r="E27" s="5" t="inlineStr">
        <is>
          <t>Trade-off</t>
        </is>
      </c>
    </row>
    <row r="28">
      <c r="A28" s="6" t="inlineStr">
        <is>
          <t>1. Cut scope</t>
        </is>
      </c>
      <c r="B28" s="69" t="n">
        <v>0</v>
      </c>
      <c r="C28" s="8" t="inlineStr">
        <is>
          <t>~2 weeks</t>
        </is>
      </c>
      <c r="D28" s="8" t="inlineStr">
        <is>
          <t>Preferred</t>
        </is>
      </c>
      <c r="E28" s="9" t="inlineStr">
        <is>
          <t>Defer settlement automation and vendor scorecard to Phase 1b. No cash cost.</t>
        </is>
      </c>
    </row>
    <row r="29">
      <c r="A29" s="6" t="inlineStr">
        <is>
          <t>2. Extend timeline</t>
        </is>
      </c>
      <c r="B29" s="69" t="n">
        <v>0</v>
      </c>
      <c r="C29" s="8" t="inlineStr">
        <is>
          <t>Unlimited</t>
        </is>
      </c>
      <c r="D29" s="8" t="inlineStr">
        <is>
          <t>Second</t>
        </is>
      </c>
      <c r="E29" s="9" t="inlineStr">
        <is>
          <t>Go live in December, after Black Friday. Removes all peak-week risk but forfeits a full peak season of benefit.</t>
        </is>
      </c>
    </row>
    <row r="30">
      <c r="A30" s="6" t="inlineStr">
        <is>
          <t>3. Add a 2nd backend engineer</t>
        </is>
      </c>
      <c r="B30" s="29">
        <f>Assumptions!$B$15*3*1</f>
        <v/>
      </c>
      <c r="C30" s="8" t="inlineStr">
        <is>
          <t>~3 weeks</t>
        </is>
      </c>
      <c r="D30" s="8" t="inlineStr">
        <is>
          <t>Least effective</t>
        </is>
      </c>
      <c r="E30" s="9" t="inlineStr">
        <is>
          <t>Only works if committed by mid-September. Later than that, onboarding drag exceeds the capacity added.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58" customWidth="1" min="4" max="4"/>
  </cols>
  <sheetData>
    <row r="1">
      <c r="A1" s="1" t="inlineStr">
        <is>
          <t>Return on Investment</t>
        </is>
      </c>
    </row>
    <row r="2">
      <c r="A2" s="2" t="inlineStr">
        <is>
          <t>The case rests on recovered failed deliveries, not on data-entry savings. Proposal §1.2.</t>
        </is>
      </c>
    </row>
    <row r="4">
      <c r="A4" s="14" t="inlineStr">
        <is>
          <t>OPERATIONAL BASELINE — from the client's own data</t>
        </is>
      </c>
      <c r="B4" s="25" t="inlineStr"/>
      <c r="C4" s="25" t="inlineStr"/>
      <c r="D4" s="25" t="inlineStr"/>
    </row>
    <row r="5" ht="28" customHeight="1">
      <c r="A5" s="5" t="inlineStr">
        <is>
          <t>Measure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Source</t>
        </is>
      </c>
    </row>
    <row r="6">
      <c r="A6" s="20" t="inlineStr">
        <is>
          <t>Item rows analysed</t>
        </is>
      </c>
      <c r="B6" s="70" t="n">
        <v>18341</v>
      </c>
      <c r="C6" s="8" t="inlineStr">
        <is>
          <t>items</t>
        </is>
      </c>
      <c r="D6" s="9" t="inlineStr">
        <is>
          <t>Copy of Orders, 1 Jan – 8 Aug 2026</t>
        </is>
      </c>
    </row>
    <row r="7">
      <c r="A7" s="20" t="inlineStr">
        <is>
          <t>Failed delivery (FD Allow Open Shipment)</t>
        </is>
      </c>
      <c r="B7" s="70" t="n">
        <v>3743</v>
      </c>
      <c r="C7" s="8" t="inlineStr">
        <is>
          <t>items</t>
        </is>
      </c>
      <c r="D7" s="9" t="inlineStr">
        <is>
          <t>Final status column</t>
        </is>
      </c>
    </row>
    <row r="8">
      <c r="A8" s="20" t="inlineStr">
        <is>
          <t>Returned to origin (RTO)</t>
        </is>
      </c>
      <c r="B8" s="70" t="n">
        <v>2359</v>
      </c>
      <c r="C8" s="8" t="inlineStr">
        <is>
          <t>items</t>
        </is>
      </c>
      <c r="D8" s="9" t="inlineStr">
        <is>
          <t>Final status column</t>
        </is>
      </c>
    </row>
    <row r="9">
      <c r="A9" s="20" t="inlineStr">
        <is>
          <t>Total failed items</t>
        </is>
      </c>
      <c r="B9" s="71">
        <f>B7+B8</f>
        <v/>
      </c>
      <c r="C9" s="8" t="inlineStr">
        <is>
          <t>items</t>
        </is>
      </c>
      <c r="D9" s="9" t="inlineStr">
        <is>
          <t>FD + RTO</t>
        </is>
      </c>
    </row>
    <row r="10">
      <c r="A10" s="20" t="inlineStr">
        <is>
          <t>Average item value</t>
        </is>
      </c>
      <c r="B10" s="69" t="n">
        <v>897</v>
      </c>
      <c r="C10" s="8" t="inlineStr">
        <is>
          <t>EGP</t>
        </is>
      </c>
      <c r="D10" s="9" t="inlineStr">
        <is>
          <t>GMV ÷ item rows</t>
        </is>
      </c>
    </row>
    <row r="11">
      <c r="A11" s="20" t="inlineStr">
        <is>
          <t>GMV that shipped and came back</t>
        </is>
      </c>
      <c r="B11" s="29">
        <f>B9*B10</f>
        <v/>
      </c>
      <c r="C11" s="8" t="inlineStr">
        <is>
          <t>EGP</t>
        </is>
      </c>
      <c r="D11" s="9" t="inlineStr">
        <is>
          <t>Failed items × average value</t>
        </is>
      </c>
    </row>
    <row r="13">
      <c r="A13" s="20" t="inlineStr">
        <is>
          <t>Failed items actually worked (Send messages)</t>
        </is>
      </c>
      <c r="B13" s="70" t="n">
        <v>1430</v>
      </c>
      <c r="C13" s="8" t="inlineStr">
        <is>
          <t>items</t>
        </is>
      </c>
      <c r="D13" s="9" t="inlineStr">
        <is>
          <t>Recall Status column</t>
        </is>
      </c>
    </row>
    <row r="14">
      <c r="A14" s="20" t="inlineStr">
        <is>
          <t>Recovered into new orders</t>
        </is>
      </c>
      <c r="B14" s="70" t="n">
        <v>273</v>
      </c>
      <c r="C14" s="8" t="inlineStr">
        <is>
          <t>items</t>
        </is>
      </c>
      <c r="D14" s="9" t="inlineStr">
        <is>
          <t>Recall Status = Create new orders</t>
        </is>
      </c>
    </row>
    <row r="15">
      <c r="A15" s="20" t="inlineStr">
        <is>
          <t>Current recovery rate</t>
        </is>
      </c>
      <c r="B15" s="72">
        <f>B14/B13</f>
        <v/>
      </c>
      <c r="C15" s="8" t="inlineStr">
        <is>
          <t>%</t>
        </is>
      </c>
      <c r="D15" s="9" t="inlineStr">
        <is>
          <t>Recovered ÷ worked</t>
        </is>
      </c>
    </row>
    <row r="16">
      <c r="A16" s="20" t="inlineStr">
        <is>
          <t>Failed items never worked</t>
        </is>
      </c>
      <c r="B16" s="71">
        <f>B9-B13</f>
        <v/>
      </c>
      <c r="C16" s="8" t="inlineStr">
        <is>
          <t>items</t>
        </is>
      </c>
      <c r="D16" s="9" t="inlineStr">
        <is>
          <t>Total failed − worked</t>
        </is>
      </c>
    </row>
    <row r="18">
      <c r="A18" s="14" t="inlineStr">
        <is>
          <t>RECOVERY SCENARIOS — annualised</t>
        </is>
      </c>
      <c r="B18" s="25" t="inlineStr"/>
      <c r="C18" s="25" t="inlineStr"/>
      <c r="D18" s="25" t="inlineStr"/>
    </row>
    <row r="19" ht="28" customHeight="1">
      <c r="A19" s="5" t="inlineStr">
        <is>
          <t>Scenario</t>
        </is>
      </c>
      <c r="B19" s="5" t="inlineStr">
        <is>
          <t>Recovered items / yr</t>
        </is>
      </c>
      <c r="C19" s="5" t="inlineStr">
        <is>
          <t>Recovered GMV / yr (EGP)</t>
        </is>
      </c>
      <c r="D19" s="5" t="inlineStr">
        <is>
          <t>Assumption</t>
        </is>
      </c>
    </row>
    <row r="20">
      <c r="A20" s="32" t="inlineStr">
        <is>
          <t>Conservative</t>
        </is>
      </c>
      <c r="B20" s="73">
        <f>B16*(B15/2)*12/7</f>
        <v/>
      </c>
      <c r="C20" s="58">
        <f>B20*B10</f>
        <v/>
      </c>
      <c r="D20" s="60" t="inlineStr">
        <is>
          <t>Half the current recovery rate applied to items never worked. Deliberately pessimistic: worked items were probably the most promising.</t>
        </is>
      </c>
    </row>
    <row r="21">
      <c r="A21" s="20" t="inlineStr">
        <is>
          <t>At parity</t>
        </is>
      </c>
      <c r="B21" s="74">
        <f>(B9*B15-B14)*12/7</f>
        <v/>
      </c>
      <c r="C21" s="29">
        <f>B21*B10</f>
        <v/>
      </c>
      <c r="D21" s="9" t="inlineStr">
        <is>
          <t>Current 19.1% recovery rate applied across all failed items, net of what is already recovered today.</t>
        </is>
      </c>
    </row>
    <row r="23">
      <c r="A23" s="14" t="inlineStr">
        <is>
          <t>PAYBACK</t>
        </is>
      </c>
      <c r="B23" s="25" t="inlineStr"/>
      <c r="C23" s="25" t="inlineStr"/>
      <c r="D23" s="25" t="inlineStr"/>
    </row>
    <row r="24">
      <c r="A24" s="20" t="inlineStr">
        <is>
          <t>Phase 1 build cost</t>
        </is>
      </c>
      <c r="B24" s="27">
        <f>'Cost Breakdown'!$E$15</f>
        <v/>
      </c>
      <c r="D24" s="18" t="inlineStr">
        <is>
          <t>These are GMV figures, not profit. The platform realises commission and margin on recovered orders, not the full value. The point is the order of magnitude: even the conservative case returns more than twice the build cost in GMV within year one, and the recall queue is a permanent capability.</t>
        </is>
      </c>
    </row>
    <row r="25">
      <c r="A25" s="20" t="inlineStr">
        <is>
          <t>Recovered GMV, conservative case</t>
        </is>
      </c>
      <c r="B25" s="29">
        <f>C20</f>
        <v/>
      </c>
    </row>
    <row r="26">
      <c r="A26" s="31" t="inlineStr">
        <is>
          <t>Ratio — recovered GMV to build cost</t>
        </is>
      </c>
      <c r="B26" s="75">
        <f>B25/B24</f>
        <v/>
      </c>
    </row>
    <row r="27"/>
    <row r="28">
      <c r="A28" s="14" t="inlineStr">
        <is>
          <t>RECURRING OFFSETS</t>
        </is>
      </c>
      <c r="B28" s="25" t="inlineStr"/>
      <c r="C28" s="25" t="inlineStr"/>
      <c r="D28" s="25" t="inlineStr"/>
    </row>
    <row r="29">
      <c r="A29" s="76" t="inlineStr">
        <is>
          <t>E-stebdal subscription — monthly</t>
        </is>
      </c>
      <c r="B29" s="77" t="n">
        <v>0</v>
      </c>
      <c r="D29" s="78" t="inlineStr">
        <is>
          <t>CLIENT TO CONFIRM. Enter the current monthly subscription; the annual saving below will calculate. Retired at January 2027 cutover.</t>
        </is>
      </c>
    </row>
    <row r="30">
      <c r="A30" s="6" t="inlineStr">
        <is>
          <t>Annual saving from retiring E-stebdal</t>
        </is>
      </c>
      <c r="B30" s="79">
        <f>B29*12</f>
        <v/>
      </c>
    </row>
    <row r="31">
      <c r="A31" s="20" t="inlineStr">
        <is>
          <t>Manual data entry displaced</t>
        </is>
      </c>
      <c r="B31" s="74">
        <f>B6/155</f>
        <v/>
      </c>
      <c r="C31" s="20" t="inlineStr">
        <is>
          <t>rows / working day</t>
        </is>
      </c>
      <c r="D31" s="9" t="inlineStr">
        <is>
          <t>Across 32 columns with cross-system lookups per row. A real but soft saving — not counted in the payback figure above.</t>
        </is>
      </c>
    </row>
  </sheetData>
  <mergeCells count="1">
    <mergeCell ref="D24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2026-08-19T06:01:03Z</dcterms:created>
  <dcterms:modified xmlns:dcterms="http://purl.org/dc/terms/" xmlns:xsi="http://www.w3.org/2001/XMLSchema-instance" xsi:type="dcterms:W3CDTF">2026-08-19T06:01:03Z</dcterms:modified>
</cp:coreProperties>
</file>